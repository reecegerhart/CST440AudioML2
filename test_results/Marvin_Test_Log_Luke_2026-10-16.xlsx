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uess Log" sheetId="2" state="visible" r:id="rId4"/>
  </sheets>
  <definedNames>
    <definedName function="false" hidden="true" localSheetId="1" name="_xlnm._FilterDatabase" vbProcedure="false">'Guess Log'!$A$1:$H$170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<sst xmlns="http://schemas.openxmlformats.org/spreadsheetml/2006/main" count="382" uniqueCount="46">
  <si>
    <t xml:space="preserve">Word</t>
  </si>
  <si>
    <t xml:space="preserve">Guesses</t>
  </si>
  <si>
    <t xml:space="preserve">Correct</t>
  </si>
  <si>
    <t xml:space="preserve">Accuracy</t>
  </si>
  <si>
    <t xml:space="preserve">Avg confidence (all guesses)</t>
  </si>
  <si>
    <t xml:space="preserve">Avg confidence (correct only)</t>
  </si>
  <si>
    <t xml:space="preserve">Guesses at 80%+</t>
  </si>
  <si>
    <t xml:space="preserve">Guesses under 60%</t>
  </si>
  <si>
    <t xml:space="preserve">Avg loudness</t>
  </si>
  <si>
    <t xml:space="preserve">marvin</t>
  </si>
  <si>
    <t xml:space="preserve">yes</t>
  </si>
  <si>
    <t xml:space="preserve">no</t>
  </si>
  <si>
    <t xml:space="preserve">go</t>
  </si>
  <si>
    <t xml:space="preserve">stop</t>
  </si>
  <si>
    <t xml:space="preserve">All words</t>
  </si>
  <si>
    <t xml:space="preserve">Idle (no talking)</t>
  </si>
  <si>
    <t xml:space="preserve">Wake-ups</t>
  </si>
  <si>
    <t xml:space="preserve">Commands carried out</t>
  </si>
  <si>
    <t xml:space="preserve">Notes</t>
  </si>
  <si>
    <t xml:space="preserve">Source: Arduino IDE Serial Monitor log from Luke's Marvin test on 10/16/2026 (Nano 33 BLE, COM5, 115200 baud, debug on).</t>
  </si>
  <si>
    <t xml:space="preserve">"Word being tested" is the word you were saying at the time. Guesses at a switch between words count toward the next word.</t>
  </si>
  <si>
    <t xml:space="preserve">"Correct only" averages leave out guesses where Marvin picked the wrong word.</t>
  </si>
  <si>
    <t xml:space="preserve">Commands carried out is 0 because yes/no/go/stop were tested without saying "marvin" first. These rows show accuracy only.</t>
  </si>
  <si>
    <t xml:space="preserve">#</t>
  </si>
  <si>
    <t xml:space="preserve">Debug session</t>
  </si>
  <si>
    <t xml:space="preserve">Word being tested</t>
  </si>
  <si>
    <t xml:space="preserve">Marvin heard</t>
  </si>
  <si>
    <t xml:space="preserve">Confidence</t>
  </si>
  <si>
    <t xml:space="preserve">Loudness</t>
  </si>
  <si>
    <t xml:space="preserve">Correct?</t>
  </si>
  <si>
    <t xml:space="preserve">Note</t>
  </si>
  <si>
    <t xml:space="preserve">idle</t>
  </si>
  <si>
    <t xml:space="preserve">silence</t>
  </si>
  <si>
    <t xml:space="preserve">Woke up: "Heard my name (60%)" at 257.94 s</t>
  </si>
  <si>
    <t xml:space="preserve">No command heard, back to sleep (261.00 s)</t>
  </si>
  <si>
    <t xml:space="preserve">Woke up: "Heard my name (93%)" at 261.77 s</t>
  </si>
  <si>
    <t xml:space="preserve">No command heard, back to sleep (264.83 s)</t>
  </si>
  <si>
    <t xml:space="preserve">Woke up: "Heard my name (80%)" at 265.59 s</t>
  </si>
  <si>
    <t xml:space="preserve">No command heard, back to sleep (268.65 s)</t>
  </si>
  <si>
    <t xml:space="preserve">Woke up: "Heard my name (91%)" at 269.42 s</t>
  </si>
  <si>
    <t xml:space="preserve">No command heard, back to sleep (272.48 s)</t>
  </si>
  <si>
    <t xml:space="preserve">Woke up: "Heard my name (93%)" at 273.25 s</t>
  </si>
  <si>
    <t xml:space="preserve">Not talking here (Luke confirmed)</t>
  </si>
  <si>
    <t xml:space="preserve">No command heard, back to sleep (276.31 s)</t>
  </si>
  <si>
    <t xml:space="preserve">Switching from no to go</t>
  </si>
  <si>
    <t xml:space="preserve">Switching from go to stop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</si>
</sst>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878F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rgb="FFD0D7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F3CD"/>
        </patternFill>
      </fill>
    </dxf>
    <dxf>
      <fill>
        <patternFill patternType="solid">
          <fgColor rgb="FF00878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78F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0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1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n">
        <f aca="false">COUNTIF('Guess Log'!$C$2:$C$170,A2)</f>
        <v>23</v>
      </c>
      <c r="C2" s="3" t="n">
        <f aca="false">COUNTIFS('Guess Log'!$C$2:$C$170,A2,'Guess Log'!$G$2:$G$170,"Yes")</f>
        <v>23</v>
      </c>
      <c r="D2" s="4" t="n">
        <f aca="false">IF(B2=0,0,C2/B2)</f>
        <v>1</v>
      </c>
      <c r="E2" s="4" t="n">
        <f aca="false">AVERAGEIF('Guess Log'!$C$2:$C$170,A2,'Guess Log'!$E$2:$E$170)</f>
        <v>0.860434782608696</v>
      </c>
      <c r="F2" s="4" t="n">
        <f aca="false">AVERAGEIFS('Guess Log'!$E$2:$E$170,'Guess Log'!$C$2:$C$170,A2,'Guess Log'!$G$2:$G$170,"Yes")</f>
        <v>0.860434782608696</v>
      </c>
      <c r="G2" s="3" t="n">
        <f aca="false">COUNTIFS('Guess Log'!$C$2:$C$170,A2,'Guess Log'!$D$2:$D$170,A2,'Guess Log'!$E$2:$E$170,"&gt;=0.8")</f>
        <v>19</v>
      </c>
      <c r="H2" s="3" t="n">
        <f aca="false">COUNTIFS('Guess Log'!$C$2:$C$170,A2,'Guess Log'!$D$2:$D$170,A2,'Guess Log'!$E$2:$E$170,"&lt;0.6")</f>
        <v>2</v>
      </c>
      <c r="I2" s="5" t="n">
        <f aca="false">AVERAGEIF('Guess Log'!$C$2:$C$170,A2,'Guess Log'!$F$2:$F$170)</f>
        <v>0.0365217391304348</v>
      </c>
    </row>
    <row r="3" customFormat="false" ht="15" hidden="false" customHeight="false" outlineLevel="0" collapsed="false">
      <c r="A3" s="2" t="s">
        <v>10</v>
      </c>
      <c r="B3" s="3" t="n">
        <f aca="false">COUNTIF('Guess Log'!$C$2:$C$170,A3)</f>
        <v>24</v>
      </c>
      <c r="C3" s="3" t="n">
        <f aca="false">COUNTIFS('Guess Log'!$C$2:$C$170,A3,'Guess Log'!$G$2:$G$170,"Yes")</f>
        <v>23</v>
      </c>
      <c r="D3" s="4" t="n">
        <f aca="false">IF(B3=0,0,C3/B3)</f>
        <v>0.958333333333333</v>
      </c>
      <c r="E3" s="4" t="n">
        <f aca="false">AVERAGEIF('Guess Log'!$C$2:$C$170,A3,'Guess Log'!$E$2:$E$170)</f>
        <v>0.77</v>
      </c>
      <c r="F3" s="4" t="n">
        <f aca="false">AVERAGEIFS('Guess Log'!$E$2:$E$170,'Guess Log'!$C$2:$C$170,A3,'Guess Log'!$G$2:$G$170,"Yes")</f>
        <v>0.790434782608696</v>
      </c>
      <c r="G3" s="3" t="n">
        <f aca="false">COUNTIFS('Guess Log'!$C$2:$C$170,A3,'Guess Log'!$D$2:$D$170,A3,'Guess Log'!$E$2:$E$170,"&gt;=0.8")</f>
        <v>14</v>
      </c>
      <c r="H3" s="3" t="n">
        <f aca="false">COUNTIFS('Guess Log'!$C$2:$C$170,A3,'Guess Log'!$D$2:$D$170,A3,'Guess Log'!$E$2:$E$170,"&lt;0.6")</f>
        <v>5</v>
      </c>
      <c r="I3" s="5" t="n">
        <f aca="false">AVERAGEIF('Guess Log'!$C$2:$C$170,A3,'Guess Log'!$F$2:$F$170)</f>
        <v>0.0533333333333333</v>
      </c>
    </row>
    <row r="4" customFormat="false" ht="15" hidden="false" customHeight="false" outlineLevel="0" collapsed="false">
      <c r="A4" s="2" t="s">
        <v>11</v>
      </c>
      <c r="B4" s="3" t="n">
        <f aca="false">COUNTIF('Guess Log'!$C$2:$C$170,A4)</f>
        <v>24</v>
      </c>
      <c r="C4" s="3" t="n">
        <f aca="false">COUNTIFS('Guess Log'!$C$2:$C$170,A4,'Guess Log'!$G$2:$G$170,"Yes")</f>
        <v>23</v>
      </c>
      <c r="D4" s="4" t="n">
        <f aca="false">IF(B4=0,0,C4/B4)</f>
        <v>0.958333333333333</v>
      </c>
      <c r="E4" s="4" t="n">
        <f aca="false">AVERAGEIF('Guess Log'!$C$2:$C$170,A4,'Guess Log'!$E$2:$E$170)</f>
        <v>0.86625</v>
      </c>
      <c r="F4" s="4" t="n">
        <f aca="false">AVERAGEIFS('Guess Log'!$E$2:$E$170,'Guess Log'!$C$2:$C$170,A4,'Guess Log'!$G$2:$G$170,"Yes")</f>
        <v>0.890869565217391</v>
      </c>
      <c r="G4" s="3" t="n">
        <f aca="false">COUNTIFS('Guess Log'!$C$2:$C$170,A4,'Guess Log'!$D$2:$D$170,A4,'Guess Log'!$E$2:$E$170,"&gt;=0.8")</f>
        <v>19</v>
      </c>
      <c r="H4" s="3" t="n">
        <f aca="false">COUNTIFS('Guess Log'!$C$2:$C$170,A4,'Guess Log'!$D$2:$D$170,A4,'Guess Log'!$E$2:$E$170,"&lt;0.6")</f>
        <v>2</v>
      </c>
      <c r="I4" s="5" t="n">
        <f aca="false">AVERAGEIF('Guess Log'!$C$2:$C$170,A4,'Guess Log'!$F$2:$F$170)</f>
        <v>0.05875</v>
      </c>
    </row>
    <row r="5" customFormat="false" ht="15" hidden="false" customHeight="false" outlineLevel="0" collapsed="false">
      <c r="A5" s="2" t="s">
        <v>12</v>
      </c>
      <c r="B5" s="3" t="n">
        <f aca="false">COUNTIF('Guess Log'!$C$2:$C$170,A5)</f>
        <v>27</v>
      </c>
      <c r="C5" s="3" t="n">
        <f aca="false">COUNTIFS('Guess Log'!$C$2:$C$170,A5,'Guess Log'!$G$2:$G$170,"Yes")</f>
        <v>26</v>
      </c>
      <c r="D5" s="4" t="n">
        <f aca="false">IF(B5=0,0,C5/B5)</f>
        <v>0.962962962962963</v>
      </c>
      <c r="E5" s="4" t="n">
        <f aca="false">AVERAGEIF('Guess Log'!$C$2:$C$170,A5,'Guess Log'!$E$2:$E$170)</f>
        <v>0.857777777777778</v>
      </c>
      <c r="F5" s="4" t="n">
        <f aca="false">AVERAGEIFS('Guess Log'!$E$2:$E$170,'Guess Log'!$C$2:$C$170,A5,'Guess Log'!$G$2:$G$170,"Yes")</f>
        <v>0.881538461538462</v>
      </c>
      <c r="G5" s="3" t="n">
        <f aca="false">COUNTIFS('Guess Log'!$C$2:$C$170,A5,'Guess Log'!$D$2:$D$170,A5,'Guess Log'!$E$2:$E$170,"&gt;=0.8")</f>
        <v>22</v>
      </c>
      <c r="H5" s="3" t="n">
        <f aca="false">COUNTIFS('Guess Log'!$C$2:$C$170,A5,'Guess Log'!$D$2:$D$170,A5,'Guess Log'!$E$2:$E$170,"&lt;0.6")</f>
        <v>2</v>
      </c>
      <c r="I5" s="5" t="n">
        <f aca="false">AVERAGEIF('Guess Log'!$C$2:$C$170,A5,'Guess Log'!$F$2:$F$170)</f>
        <v>0.0655555555555556</v>
      </c>
    </row>
    <row r="6" customFormat="false" ht="15" hidden="false" customHeight="false" outlineLevel="0" collapsed="false">
      <c r="A6" s="2" t="s">
        <v>13</v>
      </c>
      <c r="B6" s="3" t="n">
        <f aca="false">COUNTIF('Guess Log'!$C$2:$C$170,A6)</f>
        <v>42</v>
      </c>
      <c r="C6" s="3" t="n">
        <f aca="false">COUNTIFS('Guess Log'!$C$2:$C$170,A6,'Guess Log'!$G$2:$G$170,"Yes")</f>
        <v>40</v>
      </c>
      <c r="D6" s="4" t="n">
        <f aca="false">IF(B6=0,0,C6/B6)</f>
        <v>0.952380952380952</v>
      </c>
      <c r="E6" s="4" t="n">
        <f aca="false">AVERAGEIF('Guess Log'!$C$2:$C$170,A6,'Guess Log'!$E$2:$E$170)</f>
        <v>0.725238095238095</v>
      </c>
      <c r="F6" s="4" t="n">
        <f aca="false">AVERAGEIFS('Guess Log'!$E$2:$E$170,'Guess Log'!$C$2:$C$170,A6,'Guess Log'!$G$2:$G$170,"Yes")</f>
        <v>0.73825</v>
      </c>
      <c r="G6" s="3" t="n">
        <f aca="false">COUNTIFS('Guess Log'!$C$2:$C$170,A6,'Guess Log'!$D$2:$D$170,A6,'Guess Log'!$E$2:$E$170,"&gt;=0.8")</f>
        <v>18</v>
      </c>
      <c r="H6" s="3" t="n">
        <f aca="false">COUNTIFS('Guess Log'!$C$2:$C$170,A6,'Guess Log'!$D$2:$D$170,A6,'Guess Log'!$E$2:$E$170,"&lt;0.6")</f>
        <v>13</v>
      </c>
      <c r="I6" s="5" t="n">
        <f aca="false">AVERAGEIF('Guess Log'!$C$2:$C$170,A6,'Guess Log'!$F$2:$F$170)</f>
        <v>0.0602380952380952</v>
      </c>
    </row>
    <row r="7" customFormat="false" ht="15" hidden="false" customHeight="false" outlineLevel="0" collapsed="false">
      <c r="A7" s="6" t="s">
        <v>14</v>
      </c>
      <c r="B7" s="7" t="n">
        <f aca="false">SUM(B2:B6)</f>
        <v>140</v>
      </c>
      <c r="C7" s="7" t="n">
        <f aca="false">SUM(C2:C6)</f>
        <v>135</v>
      </c>
      <c r="D7" s="8" t="n">
        <f aca="false">IF(B7=0,0,C7/B7)</f>
        <v>0.964285714285714</v>
      </c>
      <c r="E7" s="8" t="n">
        <f aca="false">AVERAGEIFS('Guess Log'!$E$2:$E$170,'Guess Log'!$C$2:$C$170,"&lt;&gt;idle")</f>
        <v>0.804857142857143</v>
      </c>
      <c r="F7" s="8" t="n">
        <f aca="false">AVERAGEIFS('Guess Log'!$E$2:$E$170,'Guess Log'!$G$2:$G$170,"Yes")</f>
        <v>0.821555555555556</v>
      </c>
      <c r="G7" s="7" t="n">
        <f aca="false">SUM(G2:G6)</f>
        <v>92</v>
      </c>
      <c r="H7" s="7" t="n">
        <f aca="false">SUM(H2:H6)</f>
        <v>24</v>
      </c>
      <c r="I7" s="9" t="n">
        <f aca="false">AVERAGEIFS('Guess Log'!$F$2:$F$170,'Guess Log'!$C$2:$C$170,"&lt;&gt;idle")</f>
        <v>0.0559285714285714</v>
      </c>
    </row>
    <row r="8" customFormat="false" ht="15" hidden="false" customHeight="false" outlineLevel="0" collapsed="false">
      <c r="A8" s="2"/>
      <c r="B8" s="3"/>
      <c r="C8" s="3"/>
      <c r="D8" s="4"/>
      <c r="E8" s="4"/>
      <c r="F8" s="4"/>
      <c r="G8" s="3"/>
      <c r="H8" s="3"/>
      <c r="I8" s="5"/>
    </row>
    <row r="9" customFormat="false" ht="15" hidden="false" customHeight="false" outlineLevel="0" collapsed="false">
      <c r="A9" s="2" t="s">
        <v>15</v>
      </c>
      <c r="B9" s="3" t="n">
        <f aca="false">COUNTIF('Guess Log'!$C$2:$C$170,"idle")</f>
        <v>29</v>
      </c>
      <c r="C9" s="3"/>
      <c r="D9" s="4"/>
      <c r="E9" s="4" t="n">
        <f aca="false">AVERAGEIF('Guess Log'!$C$2:$C$170,"idle",'Guess Log'!$E$2:$E$170)</f>
        <v>0.266551724137931</v>
      </c>
      <c r="F9" s="4"/>
      <c r="G9" s="3"/>
      <c r="H9" s="3"/>
      <c r="I9" s="5" t="n">
        <f aca="false">AVERAGEIF('Guess Log'!$C$2:$C$170,"idle",'Guess Log'!$F$2:$F$170)</f>
        <v>0.0210344827586207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 t="s">
        <v>16</v>
      </c>
      <c r="B11" s="3" t="n">
        <f aca="false">COUNTIF('Guess Log'!$H$2:$H$170,"Woke up*")</f>
        <v>5</v>
      </c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 t="s">
        <v>17</v>
      </c>
      <c r="B12" s="10" t="n">
        <v>0</v>
      </c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11" t="s">
        <v>18</v>
      </c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 t="s">
        <v>19</v>
      </c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 t="s">
        <v>20</v>
      </c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 t="s">
        <v>21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 t="s">
        <v>22</v>
      </c>
      <c r="B18" s="2"/>
      <c r="C18" s="2"/>
      <c r="D18" s="2"/>
      <c r="E18" s="2"/>
      <c r="F18" s="2"/>
      <c r="G18" s="2"/>
      <c r="H18" s="2"/>
      <c r="I18" s="2"/>
    </row>
  </sheetData>
  <conditionalFormatting sqref="E2:E6">
    <cfRule type="cellIs" priority="2" operator="lessThan" aboveAverage="0" equalAverage="0" bottom="0" percent="0" rank="0" text="" dxfId="0">
      <formula>0.8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46"/>
  </cols>
  <sheetData>
    <row r="1" customFormat="false" ht="26.8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customFormat="false" ht="15" hidden="false" customHeight="false" outlineLevel="0" collapsed="false">
      <c r="A2" s="12" t="n">
        <v>1</v>
      </c>
      <c r="B2" s="12" t="n">
        <v>1</v>
      </c>
      <c r="C2" s="12" t="s">
        <v>31</v>
      </c>
      <c r="D2" s="12" t="s">
        <v>9</v>
      </c>
      <c r="E2" s="13" t="n">
        <v>0.29</v>
      </c>
      <c r="F2" s="14" t="n">
        <v>0.02</v>
      </c>
      <c r="G2" s="12" t="str">
        <f aca="false">IF(C2="idle","n/a",IF(C2=D2,"Yes","No"))</f>
        <v>n/a</v>
      </c>
      <c r="H2" s="15"/>
    </row>
    <row r="3" customFormat="false" ht="15" hidden="false" customHeight="false" outlineLevel="0" collapsed="false">
      <c r="A3" s="12" t="n">
        <v>2</v>
      </c>
      <c r="B3" s="12" t="n">
        <v>1</v>
      </c>
      <c r="C3" s="12" t="s">
        <v>31</v>
      </c>
      <c r="D3" s="12" t="s">
        <v>9</v>
      </c>
      <c r="E3" s="13" t="n">
        <v>0.26</v>
      </c>
      <c r="F3" s="14" t="n">
        <v>0.02</v>
      </c>
      <c r="G3" s="12" t="str">
        <f aca="false">IF(C3="idle","n/a",IF(C3=D3,"Yes","No"))</f>
        <v>n/a</v>
      </c>
      <c r="H3" s="15"/>
    </row>
    <row r="4" customFormat="false" ht="15" hidden="false" customHeight="false" outlineLevel="0" collapsed="false">
      <c r="A4" s="12" t="n">
        <v>3</v>
      </c>
      <c r="B4" s="12" t="n">
        <v>1</v>
      </c>
      <c r="C4" s="12" t="s">
        <v>31</v>
      </c>
      <c r="D4" s="12" t="s">
        <v>9</v>
      </c>
      <c r="E4" s="13" t="n">
        <v>0.3</v>
      </c>
      <c r="F4" s="14" t="n">
        <v>0.02</v>
      </c>
      <c r="G4" s="12" t="str">
        <f aca="false">IF(C4="idle","n/a",IF(C4=D4,"Yes","No"))</f>
        <v>n/a</v>
      </c>
      <c r="H4" s="15"/>
    </row>
    <row r="5" customFormat="false" ht="15" hidden="false" customHeight="false" outlineLevel="0" collapsed="false">
      <c r="A5" s="12" t="n">
        <v>4</v>
      </c>
      <c r="B5" s="12" t="n">
        <v>1</v>
      </c>
      <c r="C5" s="12" t="s">
        <v>31</v>
      </c>
      <c r="D5" s="12" t="s">
        <v>9</v>
      </c>
      <c r="E5" s="13" t="n">
        <v>0.26</v>
      </c>
      <c r="F5" s="14" t="n">
        <v>0.02</v>
      </c>
      <c r="G5" s="12" t="str">
        <f aca="false">IF(C5="idle","n/a",IF(C5=D5,"Yes","No"))</f>
        <v>n/a</v>
      </c>
      <c r="H5" s="15"/>
    </row>
    <row r="6" customFormat="false" ht="15" hidden="false" customHeight="false" outlineLevel="0" collapsed="false">
      <c r="A6" s="12" t="n">
        <v>5</v>
      </c>
      <c r="B6" s="12" t="n">
        <v>1</v>
      </c>
      <c r="C6" s="12" t="s">
        <v>31</v>
      </c>
      <c r="D6" s="12" t="s">
        <v>9</v>
      </c>
      <c r="E6" s="13" t="n">
        <v>0.26</v>
      </c>
      <c r="F6" s="14" t="n">
        <v>0.02</v>
      </c>
      <c r="G6" s="12" t="str">
        <f aca="false">IF(C6="idle","n/a",IF(C6=D6,"Yes","No"))</f>
        <v>n/a</v>
      </c>
      <c r="H6" s="15"/>
    </row>
    <row r="7" customFormat="false" ht="15" hidden="false" customHeight="false" outlineLevel="0" collapsed="false">
      <c r="A7" s="12" t="n">
        <v>6</v>
      </c>
      <c r="B7" s="12" t="n">
        <v>1</v>
      </c>
      <c r="C7" s="12" t="s">
        <v>31</v>
      </c>
      <c r="D7" s="12" t="s">
        <v>9</v>
      </c>
      <c r="E7" s="13" t="n">
        <v>0.26</v>
      </c>
      <c r="F7" s="14" t="n">
        <v>0.02</v>
      </c>
      <c r="G7" s="12" t="str">
        <f aca="false">IF(C7="idle","n/a",IF(C7=D7,"Yes","No"))</f>
        <v>n/a</v>
      </c>
      <c r="H7" s="15"/>
    </row>
    <row r="8" customFormat="false" ht="15" hidden="false" customHeight="false" outlineLevel="0" collapsed="false">
      <c r="A8" s="12" t="n">
        <v>7</v>
      </c>
      <c r="B8" s="12" t="n">
        <v>1</v>
      </c>
      <c r="C8" s="12" t="s">
        <v>31</v>
      </c>
      <c r="D8" s="12" t="s">
        <v>9</v>
      </c>
      <c r="E8" s="13" t="n">
        <v>0.3</v>
      </c>
      <c r="F8" s="14" t="n">
        <v>0.02</v>
      </c>
      <c r="G8" s="12" t="str">
        <f aca="false">IF(C8="idle","n/a",IF(C8=D8,"Yes","No"))</f>
        <v>n/a</v>
      </c>
      <c r="H8" s="15"/>
    </row>
    <row r="9" customFormat="false" ht="15" hidden="false" customHeight="false" outlineLevel="0" collapsed="false">
      <c r="A9" s="12" t="n">
        <v>8</v>
      </c>
      <c r="B9" s="12" t="n">
        <v>1</v>
      </c>
      <c r="C9" s="12" t="s">
        <v>31</v>
      </c>
      <c r="D9" s="12" t="s">
        <v>9</v>
      </c>
      <c r="E9" s="13" t="n">
        <v>0.26</v>
      </c>
      <c r="F9" s="14" t="n">
        <v>0.02</v>
      </c>
      <c r="G9" s="12" t="str">
        <f aca="false">IF(C9="idle","n/a",IF(C9=D9,"Yes","No"))</f>
        <v>n/a</v>
      </c>
      <c r="H9" s="15"/>
    </row>
    <row r="10" customFormat="false" ht="15" hidden="false" customHeight="false" outlineLevel="0" collapsed="false">
      <c r="A10" s="12" t="n">
        <v>9</v>
      </c>
      <c r="B10" s="12" t="n">
        <v>1</v>
      </c>
      <c r="C10" s="12" t="s">
        <v>31</v>
      </c>
      <c r="D10" s="12" t="s">
        <v>9</v>
      </c>
      <c r="E10" s="13" t="n">
        <v>0.25</v>
      </c>
      <c r="F10" s="14" t="n">
        <v>0.02</v>
      </c>
      <c r="G10" s="12" t="str">
        <f aca="false">IF(C10="idle","n/a",IF(C10=D10,"Yes","No"))</f>
        <v>n/a</v>
      </c>
      <c r="H10" s="15"/>
    </row>
    <row r="11" customFormat="false" ht="15" hidden="false" customHeight="false" outlineLevel="0" collapsed="false">
      <c r="A11" s="12" t="n">
        <v>10</v>
      </c>
      <c r="B11" s="12" t="n">
        <v>1</v>
      </c>
      <c r="C11" s="12" t="s">
        <v>31</v>
      </c>
      <c r="D11" s="12" t="s">
        <v>9</v>
      </c>
      <c r="E11" s="13" t="n">
        <v>0.23</v>
      </c>
      <c r="F11" s="14" t="n">
        <v>0.02</v>
      </c>
      <c r="G11" s="12" t="str">
        <f aca="false">IF(C11="idle","n/a",IF(C11=D11,"Yes","No"))</f>
        <v>n/a</v>
      </c>
      <c r="H11" s="15"/>
    </row>
    <row r="12" customFormat="false" ht="15" hidden="false" customHeight="false" outlineLevel="0" collapsed="false">
      <c r="A12" s="12" t="n">
        <v>11</v>
      </c>
      <c r="B12" s="12" t="n">
        <v>1</v>
      </c>
      <c r="C12" s="12" t="s">
        <v>31</v>
      </c>
      <c r="D12" s="12" t="s">
        <v>9</v>
      </c>
      <c r="E12" s="13" t="n">
        <v>0.29</v>
      </c>
      <c r="F12" s="14" t="n">
        <v>0.02</v>
      </c>
      <c r="G12" s="12" t="str">
        <f aca="false">IF(C12="idle","n/a",IF(C12=D12,"Yes","No"))</f>
        <v>n/a</v>
      </c>
      <c r="H12" s="15"/>
    </row>
    <row r="13" customFormat="false" ht="15" hidden="false" customHeight="false" outlineLevel="0" collapsed="false">
      <c r="A13" s="12" t="n">
        <v>12</v>
      </c>
      <c r="B13" s="12" t="n">
        <v>1</v>
      </c>
      <c r="C13" s="12" t="s">
        <v>31</v>
      </c>
      <c r="D13" s="12" t="s">
        <v>9</v>
      </c>
      <c r="E13" s="13" t="n">
        <v>0.23</v>
      </c>
      <c r="F13" s="14" t="n">
        <v>0.02</v>
      </c>
      <c r="G13" s="12" t="str">
        <f aca="false">IF(C13="idle","n/a",IF(C13=D13,"Yes","No"))</f>
        <v>n/a</v>
      </c>
      <c r="H13" s="15"/>
    </row>
    <row r="14" customFormat="false" ht="15" hidden="false" customHeight="false" outlineLevel="0" collapsed="false">
      <c r="A14" s="12" t="n">
        <v>13</v>
      </c>
      <c r="B14" s="12" t="n">
        <v>1</v>
      </c>
      <c r="C14" s="12" t="s">
        <v>31</v>
      </c>
      <c r="D14" s="12" t="s">
        <v>32</v>
      </c>
      <c r="E14" s="13" t="n">
        <v>0.32</v>
      </c>
      <c r="F14" s="14" t="n">
        <v>0.02</v>
      </c>
      <c r="G14" s="12" t="str">
        <f aca="false">IF(C14="idle","n/a",IF(C14=D14,"Yes","No"))</f>
        <v>n/a</v>
      </c>
      <c r="H14" s="15"/>
    </row>
    <row r="15" customFormat="false" ht="15" hidden="false" customHeight="false" outlineLevel="0" collapsed="false">
      <c r="A15" s="12" t="n">
        <v>14</v>
      </c>
      <c r="B15" s="12" t="n">
        <v>1</v>
      </c>
      <c r="C15" s="12" t="s">
        <v>31</v>
      </c>
      <c r="D15" s="12" t="s">
        <v>32</v>
      </c>
      <c r="E15" s="13" t="n">
        <v>0.27</v>
      </c>
      <c r="F15" s="14" t="n">
        <v>0.01</v>
      </c>
      <c r="G15" s="12" t="str">
        <f aca="false">IF(C15="idle","n/a",IF(C15=D15,"Yes","No"))</f>
        <v>n/a</v>
      </c>
      <c r="H15" s="15"/>
    </row>
    <row r="16" customFormat="false" ht="15" hidden="false" customHeight="false" outlineLevel="0" collapsed="false">
      <c r="A16" s="12" t="n">
        <v>15</v>
      </c>
      <c r="B16" s="12" t="n">
        <v>1</v>
      </c>
      <c r="C16" s="12" t="s">
        <v>31</v>
      </c>
      <c r="D16" s="12" t="s">
        <v>9</v>
      </c>
      <c r="E16" s="13" t="n">
        <v>0.25</v>
      </c>
      <c r="F16" s="14" t="n">
        <v>0.01</v>
      </c>
      <c r="G16" s="12" t="str">
        <f aca="false">IF(C16="idle","n/a",IF(C16=D16,"Yes","No"))</f>
        <v>n/a</v>
      </c>
      <c r="H16" s="15"/>
    </row>
    <row r="17" customFormat="false" ht="15" hidden="false" customHeight="false" outlineLevel="0" collapsed="false">
      <c r="A17" s="12" t="n">
        <v>16</v>
      </c>
      <c r="B17" s="12" t="n">
        <v>1</v>
      </c>
      <c r="C17" s="12" t="s">
        <v>31</v>
      </c>
      <c r="D17" s="12" t="s">
        <v>9</v>
      </c>
      <c r="E17" s="13" t="n">
        <v>0.25</v>
      </c>
      <c r="F17" s="14" t="n">
        <v>0.02</v>
      </c>
      <c r="G17" s="12" t="str">
        <f aca="false">IF(C17="idle","n/a",IF(C17=D17,"Yes","No"))</f>
        <v>n/a</v>
      </c>
      <c r="H17" s="15"/>
    </row>
    <row r="18" customFormat="false" ht="15" hidden="false" customHeight="false" outlineLevel="0" collapsed="false">
      <c r="A18" s="12" t="n">
        <v>17</v>
      </c>
      <c r="B18" s="12" t="n">
        <v>1</v>
      </c>
      <c r="C18" s="12" t="s">
        <v>31</v>
      </c>
      <c r="D18" s="12" t="s">
        <v>9</v>
      </c>
      <c r="E18" s="13" t="n">
        <v>0.26</v>
      </c>
      <c r="F18" s="14" t="n">
        <v>0.02</v>
      </c>
      <c r="G18" s="12" t="str">
        <f aca="false">IF(C18="idle","n/a",IF(C18=D18,"Yes","No"))</f>
        <v>n/a</v>
      </c>
      <c r="H18" s="15"/>
    </row>
    <row r="19" customFormat="false" ht="15" hidden="false" customHeight="false" outlineLevel="0" collapsed="false">
      <c r="A19" s="12" t="n">
        <v>18</v>
      </c>
      <c r="B19" s="12" t="n">
        <v>1</v>
      </c>
      <c r="C19" s="12" t="s">
        <v>31</v>
      </c>
      <c r="D19" s="12" t="s">
        <v>9</v>
      </c>
      <c r="E19" s="13" t="n">
        <v>0.26</v>
      </c>
      <c r="F19" s="14" t="n">
        <v>0.02</v>
      </c>
      <c r="G19" s="12" t="str">
        <f aca="false">IF(C19="idle","n/a",IF(C19=D19,"Yes","No"))</f>
        <v>n/a</v>
      </c>
      <c r="H19" s="15"/>
    </row>
    <row r="20" customFormat="false" ht="15" hidden="false" customHeight="false" outlineLevel="0" collapsed="false">
      <c r="A20" s="12" t="n">
        <v>19</v>
      </c>
      <c r="B20" s="12" t="n">
        <v>1</v>
      </c>
      <c r="C20" s="12" t="s">
        <v>31</v>
      </c>
      <c r="D20" s="12" t="s">
        <v>9</v>
      </c>
      <c r="E20" s="13" t="n">
        <v>0.29</v>
      </c>
      <c r="F20" s="14" t="n">
        <v>0.02</v>
      </c>
      <c r="G20" s="12" t="str">
        <f aca="false">IF(C20="idle","n/a",IF(C20=D20,"Yes","No"))</f>
        <v>n/a</v>
      </c>
      <c r="H20" s="15"/>
    </row>
    <row r="21" customFormat="false" ht="15" hidden="false" customHeight="false" outlineLevel="0" collapsed="false">
      <c r="A21" s="12" t="n">
        <v>20</v>
      </c>
      <c r="B21" s="12" t="n">
        <v>1</v>
      </c>
      <c r="C21" s="12" t="s">
        <v>31</v>
      </c>
      <c r="D21" s="12" t="s">
        <v>9</v>
      </c>
      <c r="E21" s="13" t="n">
        <v>0.26</v>
      </c>
      <c r="F21" s="14" t="n">
        <v>0.02</v>
      </c>
      <c r="G21" s="12" t="str">
        <f aca="false">IF(C21="idle","n/a",IF(C21=D21,"Yes","No"))</f>
        <v>n/a</v>
      </c>
      <c r="H21" s="15"/>
    </row>
    <row r="22" customFormat="false" ht="15" hidden="false" customHeight="false" outlineLevel="0" collapsed="false">
      <c r="A22" s="12" t="n">
        <v>21</v>
      </c>
      <c r="B22" s="12" t="n">
        <v>1</v>
      </c>
      <c r="C22" s="12" t="s">
        <v>31</v>
      </c>
      <c r="D22" s="12" t="s">
        <v>9</v>
      </c>
      <c r="E22" s="13" t="n">
        <v>0.25</v>
      </c>
      <c r="F22" s="14" t="n">
        <v>0.01</v>
      </c>
      <c r="G22" s="12" t="str">
        <f aca="false">IF(C22="idle","n/a",IF(C22=D22,"Yes","No"))</f>
        <v>n/a</v>
      </c>
      <c r="H22" s="15"/>
    </row>
    <row r="23" customFormat="false" ht="15" hidden="false" customHeight="false" outlineLevel="0" collapsed="false">
      <c r="A23" s="12" t="n">
        <v>22</v>
      </c>
      <c r="B23" s="12" t="n">
        <v>1</v>
      </c>
      <c r="C23" s="12" t="s">
        <v>31</v>
      </c>
      <c r="D23" s="12" t="s">
        <v>9</v>
      </c>
      <c r="E23" s="13" t="n">
        <v>0.26</v>
      </c>
      <c r="F23" s="14" t="n">
        <v>0.02</v>
      </c>
      <c r="G23" s="12" t="str">
        <f aca="false">IF(C23="idle","n/a",IF(C23=D23,"Yes","No"))</f>
        <v>n/a</v>
      </c>
      <c r="H23" s="15"/>
    </row>
    <row r="24" customFormat="false" ht="15" hidden="false" customHeight="false" outlineLevel="0" collapsed="false">
      <c r="A24" s="12" t="n">
        <v>23</v>
      </c>
      <c r="B24" s="12" t="n">
        <v>1</v>
      </c>
      <c r="C24" s="12" t="s">
        <v>31</v>
      </c>
      <c r="D24" s="12" t="s">
        <v>9</v>
      </c>
      <c r="E24" s="13" t="n">
        <v>0.26</v>
      </c>
      <c r="F24" s="14" t="n">
        <v>0.02</v>
      </c>
      <c r="G24" s="12" t="str">
        <f aca="false">IF(C24="idle","n/a",IF(C24=D24,"Yes","No"))</f>
        <v>n/a</v>
      </c>
      <c r="H24" s="15"/>
    </row>
    <row r="25" customFormat="false" ht="15" hidden="false" customHeight="false" outlineLevel="0" collapsed="false">
      <c r="A25" s="12" t="n">
        <v>24</v>
      </c>
      <c r="B25" s="12" t="n">
        <v>1</v>
      </c>
      <c r="C25" s="12" t="s">
        <v>31</v>
      </c>
      <c r="D25" s="12" t="s">
        <v>9</v>
      </c>
      <c r="E25" s="13" t="n">
        <v>0.23</v>
      </c>
      <c r="F25" s="14" t="n">
        <v>0.02</v>
      </c>
      <c r="G25" s="12" t="str">
        <f aca="false">IF(C25="idle","n/a",IF(C25=D25,"Yes","No"))</f>
        <v>n/a</v>
      </c>
      <c r="H25" s="15"/>
    </row>
    <row r="26" customFormat="false" ht="15" hidden="false" customHeight="false" outlineLevel="0" collapsed="false">
      <c r="A26" s="12" t="n">
        <v>25</v>
      </c>
      <c r="B26" s="12" t="n">
        <v>1</v>
      </c>
      <c r="C26" s="12" t="s">
        <v>31</v>
      </c>
      <c r="D26" s="12" t="s">
        <v>9</v>
      </c>
      <c r="E26" s="13" t="n">
        <v>0.25</v>
      </c>
      <c r="F26" s="14" t="n">
        <v>0.02</v>
      </c>
      <c r="G26" s="12" t="str">
        <f aca="false">IF(C26="idle","n/a",IF(C26=D26,"Yes","No"))</f>
        <v>n/a</v>
      </c>
      <c r="H26" s="15"/>
    </row>
    <row r="27" customFormat="false" ht="15" hidden="false" customHeight="false" outlineLevel="0" collapsed="false">
      <c r="A27" s="12" t="n">
        <v>26</v>
      </c>
      <c r="B27" s="12" t="n">
        <v>1</v>
      </c>
      <c r="C27" s="12" t="s">
        <v>31</v>
      </c>
      <c r="D27" s="12" t="s">
        <v>9</v>
      </c>
      <c r="E27" s="13" t="n">
        <v>0.26</v>
      </c>
      <c r="F27" s="14" t="n">
        <v>0.02</v>
      </c>
      <c r="G27" s="12" t="str">
        <f aca="false">IF(C27="idle","n/a",IF(C27=D27,"Yes","No"))</f>
        <v>n/a</v>
      </c>
      <c r="H27" s="15"/>
    </row>
    <row r="28" customFormat="false" ht="15" hidden="false" customHeight="false" outlineLevel="0" collapsed="false">
      <c r="A28" s="12" t="n">
        <v>27</v>
      </c>
      <c r="B28" s="12" t="n">
        <v>2</v>
      </c>
      <c r="C28" s="12" t="s">
        <v>31</v>
      </c>
      <c r="D28" s="12" t="s">
        <v>32</v>
      </c>
      <c r="E28" s="13" t="n">
        <v>0.31</v>
      </c>
      <c r="F28" s="14" t="n">
        <v>0.05</v>
      </c>
      <c r="G28" s="12" t="str">
        <f aca="false">IF(C28="idle","n/a",IF(C28=D28,"Yes","No"))</f>
        <v>n/a</v>
      </c>
      <c r="H28" s="15"/>
    </row>
    <row r="29" customFormat="false" ht="15" hidden="false" customHeight="false" outlineLevel="0" collapsed="false">
      <c r="A29" s="12" t="n">
        <v>28</v>
      </c>
      <c r="B29" s="12" t="n">
        <v>2</v>
      </c>
      <c r="C29" s="12" t="s">
        <v>31</v>
      </c>
      <c r="D29" s="12" t="s">
        <v>9</v>
      </c>
      <c r="E29" s="13" t="n">
        <v>0.29</v>
      </c>
      <c r="F29" s="14" t="n">
        <v>0.02</v>
      </c>
      <c r="G29" s="12" t="str">
        <f aca="false">IF(C29="idle","n/a",IF(C29=D29,"Yes","No"))</f>
        <v>n/a</v>
      </c>
      <c r="H29" s="15"/>
    </row>
    <row r="30" customFormat="false" ht="15" hidden="false" customHeight="false" outlineLevel="0" collapsed="false">
      <c r="A30" s="12" t="n">
        <v>29</v>
      </c>
      <c r="B30" s="12" t="n">
        <v>2</v>
      </c>
      <c r="C30" s="12" t="s">
        <v>9</v>
      </c>
      <c r="D30" s="12" t="s">
        <v>9</v>
      </c>
      <c r="E30" s="13" t="n">
        <v>0.91</v>
      </c>
      <c r="F30" s="14" t="n">
        <v>0.04</v>
      </c>
      <c r="G30" s="12" t="str">
        <f aca="false">IF(C30="idle","n/a",IF(C30=D30,"Yes","No"))</f>
        <v>Yes</v>
      </c>
      <c r="H30" s="15" t="s">
        <v>33</v>
      </c>
    </row>
    <row r="31" customFormat="false" ht="15" hidden="false" customHeight="false" outlineLevel="0" collapsed="false">
      <c r="A31" s="12" t="n">
        <v>30</v>
      </c>
      <c r="B31" s="12" t="n">
        <v>2</v>
      </c>
      <c r="C31" s="12" t="s">
        <v>9</v>
      </c>
      <c r="D31" s="12" t="s">
        <v>9</v>
      </c>
      <c r="E31" s="13" t="n">
        <v>0.94</v>
      </c>
      <c r="F31" s="14" t="n">
        <v>0.04</v>
      </c>
      <c r="G31" s="12" t="str">
        <f aca="false">IF(C31="idle","n/a",IF(C31=D31,"Yes","No"))</f>
        <v>Yes</v>
      </c>
      <c r="H31" s="15"/>
    </row>
    <row r="32" customFormat="false" ht="15" hidden="false" customHeight="false" outlineLevel="0" collapsed="false">
      <c r="A32" s="12" t="n">
        <v>31</v>
      </c>
      <c r="B32" s="12" t="n">
        <v>2</v>
      </c>
      <c r="C32" s="12" t="s">
        <v>9</v>
      </c>
      <c r="D32" s="12" t="s">
        <v>9</v>
      </c>
      <c r="E32" s="13" t="n">
        <v>0.96</v>
      </c>
      <c r="F32" s="14" t="n">
        <v>0.03</v>
      </c>
      <c r="G32" s="12" t="str">
        <f aca="false">IF(C32="idle","n/a",IF(C32=D32,"Yes","No"))</f>
        <v>Yes</v>
      </c>
      <c r="H32" s="15"/>
    </row>
    <row r="33" customFormat="false" ht="15" hidden="false" customHeight="false" outlineLevel="0" collapsed="false">
      <c r="A33" s="12" t="n">
        <v>32</v>
      </c>
      <c r="B33" s="12" t="n">
        <v>2</v>
      </c>
      <c r="C33" s="12" t="s">
        <v>9</v>
      </c>
      <c r="D33" s="12" t="s">
        <v>9</v>
      </c>
      <c r="E33" s="13" t="n">
        <v>0.96</v>
      </c>
      <c r="F33" s="14" t="n">
        <v>0.04</v>
      </c>
      <c r="G33" s="12" t="str">
        <f aca="false">IF(C33="idle","n/a",IF(C33=D33,"Yes","No"))</f>
        <v>Yes</v>
      </c>
      <c r="H33" s="15"/>
    </row>
    <row r="34" customFormat="false" ht="15" hidden="false" customHeight="false" outlineLevel="0" collapsed="false">
      <c r="A34" s="12" t="n">
        <v>33</v>
      </c>
      <c r="B34" s="12" t="n">
        <v>2</v>
      </c>
      <c r="C34" s="12" t="s">
        <v>9</v>
      </c>
      <c r="D34" s="12" t="s">
        <v>9</v>
      </c>
      <c r="E34" s="13" t="n">
        <v>0.91</v>
      </c>
      <c r="F34" s="14" t="n">
        <v>0.03</v>
      </c>
      <c r="G34" s="12" t="str">
        <f aca="false">IF(C34="idle","n/a",IF(C34=D34,"Yes","No"))</f>
        <v>Yes</v>
      </c>
      <c r="H34" s="15" t="s">
        <v>34</v>
      </c>
    </row>
    <row r="35" customFormat="false" ht="15" hidden="false" customHeight="false" outlineLevel="0" collapsed="false">
      <c r="A35" s="12" t="n">
        <v>34</v>
      </c>
      <c r="B35" s="12" t="n">
        <v>2</v>
      </c>
      <c r="C35" s="12" t="s">
        <v>9</v>
      </c>
      <c r="D35" s="12" t="s">
        <v>9</v>
      </c>
      <c r="E35" s="13" t="n">
        <v>0.95</v>
      </c>
      <c r="F35" s="14" t="n">
        <v>0.04</v>
      </c>
      <c r="G35" s="12" t="str">
        <f aca="false">IF(C35="idle","n/a",IF(C35=D35,"Yes","No"))</f>
        <v>Yes</v>
      </c>
      <c r="H35" s="15" t="s">
        <v>35</v>
      </c>
    </row>
    <row r="36" customFormat="false" ht="15" hidden="false" customHeight="false" outlineLevel="0" collapsed="false">
      <c r="A36" s="12" t="n">
        <v>35</v>
      </c>
      <c r="B36" s="12" t="n">
        <v>2</v>
      </c>
      <c r="C36" s="12" t="s">
        <v>9</v>
      </c>
      <c r="D36" s="12" t="s">
        <v>9</v>
      </c>
      <c r="E36" s="13" t="n">
        <v>0.94</v>
      </c>
      <c r="F36" s="14" t="n">
        <v>0.04</v>
      </c>
      <c r="G36" s="12" t="str">
        <f aca="false">IF(C36="idle","n/a",IF(C36=D36,"Yes","No"))</f>
        <v>Yes</v>
      </c>
      <c r="H36" s="15"/>
    </row>
    <row r="37" customFormat="false" ht="15" hidden="false" customHeight="false" outlineLevel="0" collapsed="false">
      <c r="A37" s="12" t="n">
        <v>36</v>
      </c>
      <c r="B37" s="12" t="n">
        <v>2</v>
      </c>
      <c r="C37" s="12" t="s">
        <v>9</v>
      </c>
      <c r="D37" s="12" t="s">
        <v>9</v>
      </c>
      <c r="E37" s="13" t="n">
        <v>0.97</v>
      </c>
      <c r="F37" s="14" t="n">
        <v>0.04</v>
      </c>
      <c r="G37" s="12" t="str">
        <f aca="false">IF(C37="idle","n/a",IF(C37=D37,"Yes","No"))</f>
        <v>Yes</v>
      </c>
      <c r="H37" s="15"/>
    </row>
    <row r="38" customFormat="false" ht="15" hidden="false" customHeight="false" outlineLevel="0" collapsed="false">
      <c r="A38" s="12" t="n">
        <v>37</v>
      </c>
      <c r="B38" s="12" t="n">
        <v>2</v>
      </c>
      <c r="C38" s="12" t="s">
        <v>9</v>
      </c>
      <c r="D38" s="12" t="s">
        <v>9</v>
      </c>
      <c r="E38" s="13" t="n">
        <v>0.82</v>
      </c>
      <c r="F38" s="14" t="n">
        <v>0.03</v>
      </c>
      <c r="G38" s="12" t="str">
        <f aca="false">IF(C38="idle","n/a",IF(C38=D38,"Yes","No"))</f>
        <v>Yes</v>
      </c>
      <c r="H38" s="15"/>
    </row>
    <row r="39" customFormat="false" ht="15" hidden="false" customHeight="false" outlineLevel="0" collapsed="false">
      <c r="A39" s="12" t="n">
        <v>38</v>
      </c>
      <c r="B39" s="12" t="n">
        <v>2</v>
      </c>
      <c r="C39" s="12" t="s">
        <v>9</v>
      </c>
      <c r="D39" s="12" t="s">
        <v>9</v>
      </c>
      <c r="E39" s="13" t="n">
        <v>0.85</v>
      </c>
      <c r="F39" s="14" t="n">
        <v>0.04</v>
      </c>
      <c r="G39" s="12" t="str">
        <f aca="false">IF(C39="idle","n/a",IF(C39=D39,"Yes","No"))</f>
        <v>Yes</v>
      </c>
      <c r="H39" s="15" t="s">
        <v>36</v>
      </c>
    </row>
    <row r="40" customFormat="false" ht="15" hidden="false" customHeight="false" outlineLevel="0" collapsed="false">
      <c r="A40" s="12" t="n">
        <v>39</v>
      </c>
      <c r="B40" s="12" t="n">
        <v>2</v>
      </c>
      <c r="C40" s="12" t="s">
        <v>9</v>
      </c>
      <c r="D40" s="12" t="s">
        <v>9</v>
      </c>
      <c r="E40" s="13" t="n">
        <v>0.75</v>
      </c>
      <c r="F40" s="14" t="n">
        <v>0.04</v>
      </c>
      <c r="G40" s="12" t="str">
        <f aca="false">IF(C40="idle","n/a",IF(C40=D40,"Yes","No"))</f>
        <v>Yes</v>
      </c>
      <c r="H40" s="15" t="s">
        <v>37</v>
      </c>
    </row>
    <row r="41" customFormat="false" ht="15" hidden="false" customHeight="false" outlineLevel="0" collapsed="false">
      <c r="A41" s="12" t="n">
        <v>40</v>
      </c>
      <c r="B41" s="12" t="n">
        <v>2</v>
      </c>
      <c r="C41" s="12" t="s">
        <v>9</v>
      </c>
      <c r="D41" s="12" t="s">
        <v>9</v>
      </c>
      <c r="E41" s="13" t="n">
        <v>0.82</v>
      </c>
      <c r="F41" s="14" t="n">
        <v>0.03</v>
      </c>
      <c r="G41" s="12" t="str">
        <f aca="false">IF(C41="idle","n/a",IF(C41=D41,"Yes","No"))</f>
        <v>Yes</v>
      </c>
      <c r="H41" s="15"/>
    </row>
    <row r="42" customFormat="false" ht="15" hidden="false" customHeight="false" outlineLevel="0" collapsed="false">
      <c r="A42" s="12" t="n">
        <v>41</v>
      </c>
      <c r="B42" s="12" t="n">
        <v>2</v>
      </c>
      <c r="C42" s="12" t="s">
        <v>9</v>
      </c>
      <c r="D42" s="12" t="s">
        <v>9</v>
      </c>
      <c r="E42" s="13" t="n">
        <v>0.89</v>
      </c>
      <c r="F42" s="14" t="n">
        <v>0.05</v>
      </c>
      <c r="G42" s="12" t="str">
        <f aca="false">IF(C42="idle","n/a",IF(C42=D42,"Yes","No"))</f>
        <v>Yes</v>
      </c>
      <c r="H42" s="15"/>
    </row>
    <row r="43" customFormat="false" ht="15" hidden="false" customHeight="false" outlineLevel="0" collapsed="false">
      <c r="A43" s="12" t="n">
        <v>42</v>
      </c>
      <c r="B43" s="12" t="n">
        <v>2</v>
      </c>
      <c r="C43" s="12" t="s">
        <v>9</v>
      </c>
      <c r="D43" s="12" t="s">
        <v>9</v>
      </c>
      <c r="E43" s="13" t="n">
        <v>0.96</v>
      </c>
      <c r="F43" s="14" t="n">
        <v>0.04</v>
      </c>
      <c r="G43" s="12" t="str">
        <f aca="false">IF(C43="idle","n/a",IF(C43=D43,"Yes","No"))</f>
        <v>Yes</v>
      </c>
      <c r="H43" s="15"/>
    </row>
    <row r="44" customFormat="false" ht="15" hidden="false" customHeight="false" outlineLevel="0" collapsed="false">
      <c r="A44" s="12" t="n">
        <v>43</v>
      </c>
      <c r="B44" s="12" t="n">
        <v>2</v>
      </c>
      <c r="C44" s="12" t="s">
        <v>9</v>
      </c>
      <c r="D44" s="12" t="s">
        <v>9</v>
      </c>
      <c r="E44" s="13" t="n">
        <v>0.97</v>
      </c>
      <c r="F44" s="14" t="n">
        <v>0.04</v>
      </c>
      <c r="G44" s="12" t="str">
        <f aca="false">IF(C44="idle","n/a",IF(C44=D44,"Yes","No"))</f>
        <v>Yes</v>
      </c>
      <c r="H44" s="15" t="s">
        <v>38</v>
      </c>
    </row>
    <row r="45" customFormat="false" ht="15" hidden="false" customHeight="false" outlineLevel="0" collapsed="false">
      <c r="A45" s="12" t="n">
        <v>44</v>
      </c>
      <c r="B45" s="12" t="n">
        <v>2</v>
      </c>
      <c r="C45" s="12" t="s">
        <v>9</v>
      </c>
      <c r="D45" s="12" t="s">
        <v>9</v>
      </c>
      <c r="E45" s="13" t="n">
        <v>0.85</v>
      </c>
      <c r="F45" s="14" t="n">
        <v>0.04</v>
      </c>
      <c r="G45" s="12" t="str">
        <f aca="false">IF(C45="idle","n/a",IF(C45=D45,"Yes","No"))</f>
        <v>Yes</v>
      </c>
      <c r="H45" s="15" t="s">
        <v>39</v>
      </c>
    </row>
    <row r="46" customFormat="false" ht="15" hidden="false" customHeight="false" outlineLevel="0" collapsed="false">
      <c r="A46" s="12" t="n">
        <v>45</v>
      </c>
      <c r="B46" s="12" t="n">
        <v>2</v>
      </c>
      <c r="C46" s="12" t="s">
        <v>9</v>
      </c>
      <c r="D46" s="12" t="s">
        <v>9</v>
      </c>
      <c r="E46" s="13" t="n">
        <v>0.97</v>
      </c>
      <c r="F46" s="14" t="n">
        <v>0.05</v>
      </c>
      <c r="G46" s="12" t="str">
        <f aca="false">IF(C46="idle","n/a",IF(C46=D46,"Yes","No"))</f>
        <v>Yes</v>
      </c>
      <c r="H46" s="15"/>
    </row>
    <row r="47" customFormat="false" ht="15" hidden="false" customHeight="false" outlineLevel="0" collapsed="false">
      <c r="A47" s="12" t="n">
        <v>46</v>
      </c>
      <c r="B47" s="12" t="n">
        <v>2</v>
      </c>
      <c r="C47" s="12" t="s">
        <v>9</v>
      </c>
      <c r="D47" s="12" t="s">
        <v>9</v>
      </c>
      <c r="E47" s="13" t="n">
        <v>0.95</v>
      </c>
      <c r="F47" s="14" t="n">
        <v>0.03</v>
      </c>
      <c r="G47" s="12" t="str">
        <f aca="false">IF(C47="idle","n/a",IF(C47=D47,"Yes","No"))</f>
        <v>Yes</v>
      </c>
      <c r="H47" s="15"/>
    </row>
    <row r="48" customFormat="false" ht="15" hidden="false" customHeight="false" outlineLevel="0" collapsed="false">
      <c r="A48" s="12" t="n">
        <v>47</v>
      </c>
      <c r="B48" s="12" t="n">
        <v>2</v>
      </c>
      <c r="C48" s="12" t="s">
        <v>9</v>
      </c>
      <c r="D48" s="12" t="s">
        <v>9</v>
      </c>
      <c r="E48" s="13" t="n">
        <v>0.74</v>
      </c>
      <c r="F48" s="14" t="n">
        <v>0.03</v>
      </c>
      <c r="G48" s="12" t="str">
        <f aca="false">IF(C48="idle","n/a",IF(C48=D48,"Yes","No"))</f>
        <v>Yes</v>
      </c>
      <c r="H48" s="15"/>
    </row>
    <row r="49" customFormat="false" ht="15" hidden="false" customHeight="false" outlineLevel="0" collapsed="false">
      <c r="A49" s="12" t="n">
        <v>48</v>
      </c>
      <c r="B49" s="12" t="n">
        <v>2</v>
      </c>
      <c r="C49" s="12" t="s">
        <v>9</v>
      </c>
      <c r="D49" s="12" t="s">
        <v>9</v>
      </c>
      <c r="E49" s="13" t="n">
        <v>0.89</v>
      </c>
      <c r="F49" s="14" t="n">
        <v>0.04</v>
      </c>
      <c r="G49" s="12" t="str">
        <f aca="false">IF(C49="idle","n/a",IF(C49=D49,"Yes","No"))</f>
        <v>Yes</v>
      </c>
      <c r="H49" s="15" t="s">
        <v>40</v>
      </c>
    </row>
    <row r="50" customFormat="false" ht="15" hidden="false" customHeight="false" outlineLevel="0" collapsed="false">
      <c r="A50" s="12" t="n">
        <v>49</v>
      </c>
      <c r="B50" s="12" t="n">
        <v>2</v>
      </c>
      <c r="C50" s="12" t="s">
        <v>9</v>
      </c>
      <c r="D50" s="12" t="s">
        <v>9</v>
      </c>
      <c r="E50" s="13" t="n">
        <v>0.96</v>
      </c>
      <c r="F50" s="14" t="n">
        <v>0.04</v>
      </c>
      <c r="G50" s="12" t="str">
        <f aca="false">IF(C50="idle","n/a",IF(C50=D50,"Yes","No"))</f>
        <v>Yes</v>
      </c>
      <c r="H50" s="15" t="s">
        <v>41</v>
      </c>
    </row>
    <row r="51" customFormat="false" ht="15" hidden="false" customHeight="false" outlineLevel="0" collapsed="false">
      <c r="A51" s="12" t="n">
        <v>50</v>
      </c>
      <c r="B51" s="12" t="n">
        <v>2</v>
      </c>
      <c r="C51" s="12" t="s">
        <v>9</v>
      </c>
      <c r="D51" s="12" t="s">
        <v>9</v>
      </c>
      <c r="E51" s="13" t="n">
        <v>0.57</v>
      </c>
      <c r="F51" s="14" t="n">
        <v>0.02</v>
      </c>
      <c r="G51" s="12" t="str">
        <f aca="false">IF(C51="idle","n/a",IF(C51=D51,"Yes","No"))</f>
        <v>Yes</v>
      </c>
      <c r="H51" s="15"/>
    </row>
    <row r="52" customFormat="false" ht="15" hidden="false" customHeight="false" outlineLevel="0" collapsed="false">
      <c r="A52" s="12" t="n">
        <v>51</v>
      </c>
      <c r="B52" s="12" t="n">
        <v>2</v>
      </c>
      <c r="C52" s="12" t="s">
        <v>9</v>
      </c>
      <c r="D52" s="12" t="s">
        <v>9</v>
      </c>
      <c r="E52" s="13" t="n">
        <v>0.26</v>
      </c>
      <c r="F52" s="14" t="n">
        <v>0.02</v>
      </c>
      <c r="G52" s="12" t="str">
        <f aca="false">IF(C52="idle","n/a",IF(C52=D52,"Yes","No"))</f>
        <v>Yes</v>
      </c>
      <c r="H52" s="15"/>
    </row>
    <row r="53" customFormat="false" ht="15" hidden="false" customHeight="false" outlineLevel="0" collapsed="false">
      <c r="A53" s="12" t="n">
        <v>52</v>
      </c>
      <c r="B53" s="12" t="n">
        <v>2</v>
      </c>
      <c r="C53" s="12" t="s">
        <v>31</v>
      </c>
      <c r="D53" s="12" t="s">
        <v>32</v>
      </c>
      <c r="E53" s="13" t="n">
        <v>0.27</v>
      </c>
      <c r="F53" s="14" t="n">
        <v>0.05</v>
      </c>
      <c r="G53" s="12" t="str">
        <f aca="false">IF(C53="idle","n/a",IF(C53=D53,"Yes","No"))</f>
        <v>n/a</v>
      </c>
      <c r="H53" s="15" t="s">
        <v>42</v>
      </c>
    </row>
    <row r="54" customFormat="false" ht="15" hidden="false" customHeight="false" outlineLevel="0" collapsed="false">
      <c r="A54" s="12" t="n">
        <v>53</v>
      </c>
      <c r="B54" s="12" t="n">
        <v>2</v>
      </c>
      <c r="C54" s="12" t="s">
        <v>10</v>
      </c>
      <c r="D54" s="12" t="s">
        <v>10</v>
      </c>
      <c r="E54" s="13" t="n">
        <v>0.98</v>
      </c>
      <c r="F54" s="14" t="n">
        <v>0.06</v>
      </c>
      <c r="G54" s="12" t="str">
        <f aca="false">IF(C54="idle","n/a",IF(C54=D54,"Yes","No"))</f>
        <v>Yes</v>
      </c>
      <c r="H54" s="15" t="s">
        <v>43</v>
      </c>
    </row>
    <row r="55" customFormat="false" ht="15" hidden="false" customHeight="false" outlineLevel="0" collapsed="false">
      <c r="A55" s="12" t="n">
        <v>54</v>
      </c>
      <c r="B55" s="12" t="n">
        <v>2</v>
      </c>
      <c r="C55" s="12" t="s">
        <v>10</v>
      </c>
      <c r="D55" s="12" t="s">
        <v>10</v>
      </c>
      <c r="E55" s="13" t="n">
        <v>0.88</v>
      </c>
      <c r="F55" s="14" t="n">
        <v>0.06</v>
      </c>
      <c r="G55" s="12" t="str">
        <f aca="false">IF(C55="idle","n/a",IF(C55=D55,"Yes","No"))</f>
        <v>Yes</v>
      </c>
      <c r="H55" s="15"/>
    </row>
    <row r="56" customFormat="false" ht="15" hidden="false" customHeight="false" outlineLevel="0" collapsed="false">
      <c r="A56" s="12" t="n">
        <v>55</v>
      </c>
      <c r="B56" s="12" t="n">
        <v>2</v>
      </c>
      <c r="C56" s="12" t="s">
        <v>10</v>
      </c>
      <c r="D56" s="12" t="s">
        <v>10</v>
      </c>
      <c r="E56" s="13" t="n">
        <v>0.95</v>
      </c>
      <c r="F56" s="14" t="n">
        <v>0.06</v>
      </c>
      <c r="G56" s="12" t="str">
        <f aca="false">IF(C56="idle","n/a",IF(C56=D56,"Yes","No"))</f>
        <v>Yes</v>
      </c>
      <c r="H56" s="15"/>
    </row>
    <row r="57" customFormat="false" ht="15" hidden="false" customHeight="false" outlineLevel="0" collapsed="false">
      <c r="A57" s="12" t="n">
        <v>56</v>
      </c>
      <c r="B57" s="12" t="n">
        <v>2</v>
      </c>
      <c r="C57" s="12" t="s">
        <v>10</v>
      </c>
      <c r="D57" s="12" t="s">
        <v>10</v>
      </c>
      <c r="E57" s="13" t="n">
        <v>0.93</v>
      </c>
      <c r="F57" s="14" t="n">
        <v>0.05</v>
      </c>
      <c r="G57" s="12" t="str">
        <f aca="false">IF(C57="idle","n/a",IF(C57=D57,"Yes","No"))</f>
        <v>Yes</v>
      </c>
      <c r="H57" s="15"/>
    </row>
    <row r="58" customFormat="false" ht="15" hidden="false" customHeight="false" outlineLevel="0" collapsed="false">
      <c r="A58" s="12" t="n">
        <v>57</v>
      </c>
      <c r="B58" s="12" t="n">
        <v>2</v>
      </c>
      <c r="C58" s="12" t="s">
        <v>10</v>
      </c>
      <c r="D58" s="12" t="s">
        <v>10</v>
      </c>
      <c r="E58" s="13" t="n">
        <v>0.92</v>
      </c>
      <c r="F58" s="14" t="n">
        <v>0.07</v>
      </c>
      <c r="G58" s="12" t="str">
        <f aca="false">IF(C58="idle","n/a",IF(C58=D58,"Yes","No"))</f>
        <v>Yes</v>
      </c>
      <c r="H58" s="15"/>
    </row>
    <row r="59" customFormat="false" ht="15" hidden="false" customHeight="false" outlineLevel="0" collapsed="false">
      <c r="A59" s="12" t="n">
        <v>58</v>
      </c>
      <c r="B59" s="12" t="n">
        <v>2</v>
      </c>
      <c r="C59" s="12" t="s">
        <v>10</v>
      </c>
      <c r="D59" s="12" t="s">
        <v>10</v>
      </c>
      <c r="E59" s="13" t="n">
        <v>0.83</v>
      </c>
      <c r="F59" s="14" t="n">
        <v>0.04</v>
      </c>
      <c r="G59" s="12" t="str">
        <f aca="false">IF(C59="idle","n/a",IF(C59=D59,"Yes","No"))</f>
        <v>Yes</v>
      </c>
      <c r="H59" s="15"/>
    </row>
    <row r="60" customFormat="false" ht="15" hidden="false" customHeight="false" outlineLevel="0" collapsed="false">
      <c r="A60" s="12" t="n">
        <v>59</v>
      </c>
      <c r="B60" s="12" t="n">
        <v>2</v>
      </c>
      <c r="C60" s="12" t="s">
        <v>10</v>
      </c>
      <c r="D60" s="12" t="s">
        <v>10</v>
      </c>
      <c r="E60" s="13" t="n">
        <v>0.87</v>
      </c>
      <c r="F60" s="14" t="n">
        <v>0.06</v>
      </c>
      <c r="G60" s="12" t="str">
        <f aca="false">IF(C60="idle","n/a",IF(C60=D60,"Yes","No"))</f>
        <v>Yes</v>
      </c>
      <c r="H60" s="15"/>
    </row>
    <row r="61" customFormat="false" ht="15" hidden="false" customHeight="false" outlineLevel="0" collapsed="false">
      <c r="A61" s="12" t="n">
        <v>60</v>
      </c>
      <c r="B61" s="12" t="n">
        <v>2</v>
      </c>
      <c r="C61" s="12" t="s">
        <v>10</v>
      </c>
      <c r="D61" s="12" t="s">
        <v>10</v>
      </c>
      <c r="E61" s="13" t="n">
        <v>0.98</v>
      </c>
      <c r="F61" s="14" t="n">
        <v>0.06</v>
      </c>
      <c r="G61" s="12" t="str">
        <f aca="false">IF(C61="idle","n/a",IF(C61=D61,"Yes","No"))</f>
        <v>Yes</v>
      </c>
      <c r="H61" s="15"/>
    </row>
    <row r="62" customFormat="false" ht="15" hidden="false" customHeight="false" outlineLevel="0" collapsed="false">
      <c r="A62" s="12" t="n">
        <v>61</v>
      </c>
      <c r="B62" s="12" t="n">
        <v>2</v>
      </c>
      <c r="C62" s="12" t="s">
        <v>10</v>
      </c>
      <c r="D62" s="12" t="s">
        <v>10</v>
      </c>
      <c r="E62" s="13" t="n">
        <v>0.79</v>
      </c>
      <c r="F62" s="14" t="n">
        <v>0.05</v>
      </c>
      <c r="G62" s="12" t="str">
        <f aca="false">IF(C62="idle","n/a",IF(C62=D62,"Yes","No"))</f>
        <v>Yes</v>
      </c>
      <c r="H62" s="15"/>
    </row>
    <row r="63" customFormat="false" ht="15" hidden="false" customHeight="false" outlineLevel="0" collapsed="false">
      <c r="A63" s="12" t="n">
        <v>62</v>
      </c>
      <c r="B63" s="12" t="n">
        <v>2</v>
      </c>
      <c r="C63" s="12" t="s">
        <v>10</v>
      </c>
      <c r="D63" s="12" t="s">
        <v>10</v>
      </c>
      <c r="E63" s="13" t="n">
        <v>0.8</v>
      </c>
      <c r="F63" s="14" t="n">
        <v>0.07</v>
      </c>
      <c r="G63" s="12" t="str">
        <f aca="false">IF(C63="idle","n/a",IF(C63=D63,"Yes","No"))</f>
        <v>Yes</v>
      </c>
      <c r="H63" s="15"/>
    </row>
    <row r="64" customFormat="false" ht="15" hidden="false" customHeight="false" outlineLevel="0" collapsed="false">
      <c r="A64" s="12" t="n">
        <v>63</v>
      </c>
      <c r="B64" s="12" t="n">
        <v>2</v>
      </c>
      <c r="C64" s="12" t="s">
        <v>10</v>
      </c>
      <c r="D64" s="12" t="s">
        <v>9</v>
      </c>
      <c r="E64" s="13" t="n">
        <v>0.3</v>
      </c>
      <c r="F64" s="14" t="n">
        <v>0.06</v>
      </c>
      <c r="G64" s="12" t="str">
        <f aca="false">IF(C64="idle","n/a",IF(C64=D64,"Yes","No"))</f>
        <v>No</v>
      </c>
      <c r="H64" s="15"/>
    </row>
    <row r="65" customFormat="false" ht="15" hidden="false" customHeight="false" outlineLevel="0" collapsed="false">
      <c r="A65" s="12" t="n">
        <v>64</v>
      </c>
      <c r="B65" s="12" t="n">
        <v>2</v>
      </c>
      <c r="C65" s="12" t="s">
        <v>10</v>
      </c>
      <c r="D65" s="12" t="s">
        <v>10</v>
      </c>
      <c r="E65" s="13" t="n">
        <v>0.57</v>
      </c>
      <c r="F65" s="14" t="n">
        <v>0.02</v>
      </c>
      <c r="G65" s="12" t="str">
        <f aca="false">IF(C65="idle","n/a",IF(C65=D65,"Yes","No"))</f>
        <v>Yes</v>
      </c>
      <c r="H65" s="15"/>
    </row>
    <row r="66" customFormat="false" ht="15" hidden="false" customHeight="false" outlineLevel="0" collapsed="false">
      <c r="A66" s="12" t="n">
        <v>65</v>
      </c>
      <c r="B66" s="12" t="n">
        <v>2</v>
      </c>
      <c r="C66" s="12" t="s">
        <v>10</v>
      </c>
      <c r="D66" s="12" t="s">
        <v>10</v>
      </c>
      <c r="E66" s="13" t="n">
        <v>0.96</v>
      </c>
      <c r="F66" s="14" t="n">
        <v>0.05</v>
      </c>
      <c r="G66" s="12" t="str">
        <f aca="false">IF(C66="idle","n/a",IF(C66=D66,"Yes","No"))</f>
        <v>Yes</v>
      </c>
      <c r="H66" s="15"/>
    </row>
    <row r="67" customFormat="false" ht="15" hidden="false" customHeight="false" outlineLevel="0" collapsed="false">
      <c r="A67" s="12" t="n">
        <v>66</v>
      </c>
      <c r="B67" s="12" t="n">
        <v>2</v>
      </c>
      <c r="C67" s="12" t="s">
        <v>10</v>
      </c>
      <c r="D67" s="12" t="s">
        <v>10</v>
      </c>
      <c r="E67" s="13" t="n">
        <v>0.59</v>
      </c>
      <c r="F67" s="14" t="n">
        <v>0.07</v>
      </c>
      <c r="G67" s="12" t="str">
        <f aca="false">IF(C67="idle","n/a",IF(C67=D67,"Yes","No"))</f>
        <v>Yes</v>
      </c>
      <c r="H67" s="15"/>
    </row>
    <row r="68" customFormat="false" ht="15" hidden="false" customHeight="false" outlineLevel="0" collapsed="false">
      <c r="A68" s="12" t="n">
        <v>67</v>
      </c>
      <c r="B68" s="12" t="n">
        <v>2</v>
      </c>
      <c r="C68" s="12" t="s">
        <v>10</v>
      </c>
      <c r="D68" s="12" t="s">
        <v>10</v>
      </c>
      <c r="E68" s="13" t="n">
        <v>0.89</v>
      </c>
      <c r="F68" s="14" t="n">
        <v>0.07</v>
      </c>
      <c r="G68" s="12" t="str">
        <f aca="false">IF(C68="idle","n/a",IF(C68=D68,"Yes","No"))</f>
        <v>Yes</v>
      </c>
      <c r="H68" s="15"/>
    </row>
    <row r="69" customFormat="false" ht="15" hidden="false" customHeight="false" outlineLevel="0" collapsed="false">
      <c r="A69" s="12" t="n">
        <v>68</v>
      </c>
      <c r="B69" s="12" t="n">
        <v>2</v>
      </c>
      <c r="C69" s="12" t="s">
        <v>10</v>
      </c>
      <c r="D69" s="12" t="s">
        <v>10</v>
      </c>
      <c r="E69" s="13" t="n">
        <v>0.46</v>
      </c>
      <c r="F69" s="14" t="n">
        <v>0.07</v>
      </c>
      <c r="G69" s="12" t="str">
        <f aca="false">IF(C69="idle","n/a",IF(C69=D69,"Yes","No"))</f>
        <v>Yes</v>
      </c>
      <c r="H69" s="15"/>
    </row>
    <row r="70" customFormat="false" ht="15" hidden="false" customHeight="false" outlineLevel="0" collapsed="false">
      <c r="A70" s="12" t="n">
        <v>69</v>
      </c>
      <c r="B70" s="12" t="n">
        <v>2</v>
      </c>
      <c r="C70" s="12" t="s">
        <v>10</v>
      </c>
      <c r="D70" s="12" t="s">
        <v>10</v>
      </c>
      <c r="E70" s="13" t="n">
        <v>0.71</v>
      </c>
      <c r="F70" s="14" t="n">
        <v>0.04</v>
      </c>
      <c r="G70" s="12" t="str">
        <f aca="false">IF(C70="idle","n/a",IF(C70=D70,"Yes","No"))</f>
        <v>Yes</v>
      </c>
      <c r="H70" s="15"/>
    </row>
    <row r="71" customFormat="false" ht="15" hidden="false" customHeight="false" outlineLevel="0" collapsed="false">
      <c r="A71" s="12" t="n">
        <v>70</v>
      </c>
      <c r="B71" s="12" t="n">
        <v>2</v>
      </c>
      <c r="C71" s="12" t="s">
        <v>10</v>
      </c>
      <c r="D71" s="12" t="s">
        <v>10</v>
      </c>
      <c r="E71" s="13" t="n">
        <v>0.76</v>
      </c>
      <c r="F71" s="14" t="n">
        <v>0.02</v>
      </c>
      <c r="G71" s="12" t="str">
        <f aca="false">IF(C71="idle","n/a",IF(C71=D71,"Yes","No"))</f>
        <v>Yes</v>
      </c>
      <c r="H71" s="15"/>
    </row>
    <row r="72" customFormat="false" ht="15" hidden="false" customHeight="false" outlineLevel="0" collapsed="false">
      <c r="A72" s="12" t="n">
        <v>71</v>
      </c>
      <c r="B72" s="12" t="n">
        <v>2</v>
      </c>
      <c r="C72" s="12" t="s">
        <v>10</v>
      </c>
      <c r="D72" s="12" t="s">
        <v>10</v>
      </c>
      <c r="E72" s="13" t="n">
        <v>0.75</v>
      </c>
      <c r="F72" s="14" t="n">
        <v>0.05</v>
      </c>
      <c r="G72" s="12" t="str">
        <f aca="false">IF(C72="idle","n/a",IF(C72=D72,"Yes","No"))</f>
        <v>Yes</v>
      </c>
      <c r="H72" s="15"/>
    </row>
    <row r="73" customFormat="false" ht="15" hidden="false" customHeight="false" outlineLevel="0" collapsed="false">
      <c r="A73" s="12" t="n">
        <v>72</v>
      </c>
      <c r="B73" s="12" t="n">
        <v>2</v>
      </c>
      <c r="C73" s="12" t="s">
        <v>10</v>
      </c>
      <c r="D73" s="12" t="s">
        <v>10</v>
      </c>
      <c r="E73" s="13" t="n">
        <v>0.89</v>
      </c>
      <c r="F73" s="14" t="n">
        <v>0.04</v>
      </c>
      <c r="G73" s="12" t="str">
        <f aca="false">IF(C73="idle","n/a",IF(C73=D73,"Yes","No"))</f>
        <v>Yes</v>
      </c>
      <c r="H73" s="15"/>
    </row>
    <row r="74" customFormat="false" ht="15" hidden="false" customHeight="false" outlineLevel="0" collapsed="false">
      <c r="A74" s="12" t="n">
        <v>73</v>
      </c>
      <c r="B74" s="12" t="n">
        <v>2</v>
      </c>
      <c r="C74" s="12" t="s">
        <v>10</v>
      </c>
      <c r="D74" s="12" t="s">
        <v>10</v>
      </c>
      <c r="E74" s="13" t="n">
        <v>0.87</v>
      </c>
      <c r="F74" s="14" t="n">
        <v>0.06</v>
      </c>
      <c r="G74" s="12" t="str">
        <f aca="false">IF(C74="idle","n/a",IF(C74=D74,"Yes","No"))</f>
        <v>Yes</v>
      </c>
      <c r="H74" s="15"/>
    </row>
    <row r="75" customFormat="false" ht="15" hidden="false" customHeight="false" outlineLevel="0" collapsed="false">
      <c r="A75" s="12" t="n">
        <v>74</v>
      </c>
      <c r="B75" s="12" t="n">
        <v>2</v>
      </c>
      <c r="C75" s="12" t="s">
        <v>10</v>
      </c>
      <c r="D75" s="12" t="s">
        <v>10</v>
      </c>
      <c r="E75" s="13" t="n">
        <v>0.81</v>
      </c>
      <c r="F75" s="14" t="n">
        <v>0.05</v>
      </c>
      <c r="G75" s="12" t="str">
        <f aca="false">IF(C75="idle","n/a",IF(C75=D75,"Yes","No"))</f>
        <v>Yes</v>
      </c>
      <c r="H75" s="15"/>
    </row>
    <row r="76" customFormat="false" ht="15" hidden="false" customHeight="false" outlineLevel="0" collapsed="false">
      <c r="A76" s="12" t="n">
        <v>75</v>
      </c>
      <c r="B76" s="12" t="n">
        <v>2</v>
      </c>
      <c r="C76" s="12" t="s">
        <v>10</v>
      </c>
      <c r="D76" s="12" t="s">
        <v>10</v>
      </c>
      <c r="E76" s="13" t="n">
        <v>0.58</v>
      </c>
      <c r="F76" s="14" t="n">
        <v>0.06</v>
      </c>
      <c r="G76" s="12" t="str">
        <f aca="false">IF(C76="idle","n/a",IF(C76=D76,"Yes","No"))</f>
        <v>Yes</v>
      </c>
      <c r="H76" s="15"/>
    </row>
    <row r="77" customFormat="false" ht="15" hidden="false" customHeight="false" outlineLevel="0" collapsed="false">
      <c r="A77" s="12" t="n">
        <v>76</v>
      </c>
      <c r="B77" s="12" t="n">
        <v>2</v>
      </c>
      <c r="C77" s="12" t="s">
        <v>10</v>
      </c>
      <c r="D77" s="12" t="s">
        <v>10</v>
      </c>
      <c r="E77" s="13" t="n">
        <v>0.41</v>
      </c>
      <c r="F77" s="14" t="n">
        <v>0.04</v>
      </c>
      <c r="G77" s="12" t="str">
        <f aca="false">IF(C77="idle","n/a",IF(C77=D77,"Yes","No"))</f>
        <v>Yes</v>
      </c>
      <c r="H77" s="15"/>
    </row>
    <row r="78" customFormat="false" ht="15" hidden="false" customHeight="false" outlineLevel="0" collapsed="false">
      <c r="A78" s="12" t="n">
        <v>77</v>
      </c>
      <c r="B78" s="12" t="n">
        <v>2</v>
      </c>
      <c r="C78" s="12" t="s">
        <v>11</v>
      </c>
      <c r="D78" s="12" t="s">
        <v>11</v>
      </c>
      <c r="E78" s="13" t="n">
        <v>0.93</v>
      </c>
      <c r="F78" s="14" t="n">
        <v>0.07</v>
      </c>
      <c r="G78" s="12" t="str">
        <f aca="false">IF(C78="idle","n/a",IF(C78=D78,"Yes","No"))</f>
        <v>Yes</v>
      </c>
      <c r="H78" s="15"/>
    </row>
    <row r="79" customFormat="false" ht="15" hidden="false" customHeight="false" outlineLevel="0" collapsed="false">
      <c r="A79" s="12" t="n">
        <v>78</v>
      </c>
      <c r="B79" s="12" t="n">
        <v>2</v>
      </c>
      <c r="C79" s="12" t="s">
        <v>11</v>
      </c>
      <c r="D79" s="12" t="s">
        <v>11</v>
      </c>
      <c r="E79" s="13" t="n">
        <v>0.56</v>
      </c>
      <c r="F79" s="14" t="n">
        <v>0.05</v>
      </c>
      <c r="G79" s="12" t="str">
        <f aca="false">IF(C79="idle","n/a",IF(C79=D79,"Yes","No"))</f>
        <v>Yes</v>
      </c>
      <c r="H79" s="15"/>
    </row>
    <row r="80" customFormat="false" ht="15" hidden="false" customHeight="false" outlineLevel="0" collapsed="false">
      <c r="A80" s="12" t="n">
        <v>79</v>
      </c>
      <c r="B80" s="12" t="n">
        <v>2</v>
      </c>
      <c r="C80" s="12" t="s">
        <v>11</v>
      </c>
      <c r="D80" s="12" t="s">
        <v>11</v>
      </c>
      <c r="E80" s="13" t="n">
        <v>0.95</v>
      </c>
      <c r="F80" s="14" t="n">
        <v>0.04</v>
      </c>
      <c r="G80" s="12" t="str">
        <f aca="false">IF(C80="idle","n/a",IF(C80=D80,"Yes","No"))</f>
        <v>Yes</v>
      </c>
      <c r="H80" s="15"/>
    </row>
    <row r="81" customFormat="false" ht="15" hidden="false" customHeight="false" outlineLevel="0" collapsed="false">
      <c r="A81" s="12" t="n">
        <v>80</v>
      </c>
      <c r="B81" s="12" t="n">
        <v>2</v>
      </c>
      <c r="C81" s="12" t="s">
        <v>11</v>
      </c>
      <c r="D81" s="12" t="s">
        <v>11</v>
      </c>
      <c r="E81" s="13" t="n">
        <v>0.92</v>
      </c>
      <c r="F81" s="14" t="n">
        <v>0.04</v>
      </c>
      <c r="G81" s="12" t="str">
        <f aca="false">IF(C81="idle","n/a",IF(C81=D81,"Yes","No"))</f>
        <v>Yes</v>
      </c>
      <c r="H81" s="15"/>
    </row>
    <row r="82" customFormat="false" ht="15" hidden="false" customHeight="false" outlineLevel="0" collapsed="false">
      <c r="A82" s="12" t="n">
        <v>81</v>
      </c>
      <c r="B82" s="12" t="n">
        <v>2</v>
      </c>
      <c r="C82" s="12" t="s">
        <v>11</v>
      </c>
      <c r="D82" s="12" t="s">
        <v>11</v>
      </c>
      <c r="E82" s="13" t="n">
        <v>0.61</v>
      </c>
      <c r="F82" s="14" t="n">
        <v>0.06</v>
      </c>
      <c r="G82" s="12" t="str">
        <f aca="false">IF(C82="idle","n/a",IF(C82=D82,"Yes","No"))</f>
        <v>Yes</v>
      </c>
      <c r="H82" s="15"/>
    </row>
    <row r="83" customFormat="false" ht="15" hidden="false" customHeight="false" outlineLevel="0" collapsed="false">
      <c r="A83" s="12" t="n">
        <v>82</v>
      </c>
      <c r="B83" s="12" t="n">
        <v>2</v>
      </c>
      <c r="C83" s="12" t="s">
        <v>11</v>
      </c>
      <c r="D83" s="12" t="s">
        <v>11</v>
      </c>
      <c r="E83" s="13" t="n">
        <v>0.79</v>
      </c>
      <c r="F83" s="14" t="n">
        <v>0.06</v>
      </c>
      <c r="G83" s="12" t="str">
        <f aca="false">IF(C83="idle","n/a",IF(C83=D83,"Yes","No"))</f>
        <v>Yes</v>
      </c>
      <c r="H83" s="15"/>
    </row>
    <row r="84" customFormat="false" ht="15" hidden="false" customHeight="false" outlineLevel="0" collapsed="false">
      <c r="A84" s="12" t="n">
        <v>83</v>
      </c>
      <c r="B84" s="12" t="n">
        <v>2</v>
      </c>
      <c r="C84" s="12" t="s">
        <v>11</v>
      </c>
      <c r="D84" s="12" t="s">
        <v>11</v>
      </c>
      <c r="E84" s="13" t="n">
        <v>0.96</v>
      </c>
      <c r="F84" s="14" t="n">
        <v>0.06</v>
      </c>
      <c r="G84" s="12" t="str">
        <f aca="false">IF(C84="idle","n/a",IF(C84=D84,"Yes","No"))</f>
        <v>Yes</v>
      </c>
      <c r="H84" s="15"/>
    </row>
    <row r="85" customFormat="false" ht="15" hidden="false" customHeight="false" outlineLevel="0" collapsed="false">
      <c r="A85" s="12" t="n">
        <v>84</v>
      </c>
      <c r="B85" s="12" t="n">
        <v>2</v>
      </c>
      <c r="C85" s="12" t="s">
        <v>11</v>
      </c>
      <c r="D85" s="12" t="s">
        <v>11</v>
      </c>
      <c r="E85" s="13" t="n">
        <v>0.92</v>
      </c>
      <c r="F85" s="14" t="n">
        <v>0.06</v>
      </c>
      <c r="G85" s="12" t="str">
        <f aca="false">IF(C85="idle","n/a",IF(C85=D85,"Yes","No"))</f>
        <v>Yes</v>
      </c>
      <c r="H85" s="15"/>
    </row>
    <row r="86" customFormat="false" ht="15" hidden="false" customHeight="false" outlineLevel="0" collapsed="false">
      <c r="A86" s="12" t="n">
        <v>85</v>
      </c>
      <c r="B86" s="12" t="n">
        <v>2</v>
      </c>
      <c r="C86" s="12" t="s">
        <v>11</v>
      </c>
      <c r="D86" s="12" t="s">
        <v>11</v>
      </c>
      <c r="E86" s="13" t="n">
        <v>0.98</v>
      </c>
      <c r="F86" s="14" t="n">
        <v>0.04</v>
      </c>
      <c r="G86" s="12" t="str">
        <f aca="false">IF(C86="idle","n/a",IF(C86=D86,"Yes","No"))</f>
        <v>Yes</v>
      </c>
      <c r="H86" s="15"/>
    </row>
    <row r="87" customFormat="false" ht="15" hidden="false" customHeight="false" outlineLevel="0" collapsed="false">
      <c r="A87" s="12" t="n">
        <v>86</v>
      </c>
      <c r="B87" s="12" t="n">
        <v>2</v>
      </c>
      <c r="C87" s="12" t="s">
        <v>11</v>
      </c>
      <c r="D87" s="12" t="s">
        <v>11</v>
      </c>
      <c r="E87" s="13" t="n">
        <v>0.94</v>
      </c>
      <c r="F87" s="14" t="n">
        <v>0.06</v>
      </c>
      <c r="G87" s="12" t="str">
        <f aca="false">IF(C87="idle","n/a",IF(C87=D87,"Yes","No"))</f>
        <v>Yes</v>
      </c>
      <c r="H87" s="15"/>
    </row>
    <row r="88" customFormat="false" ht="15" hidden="false" customHeight="false" outlineLevel="0" collapsed="false">
      <c r="A88" s="12" t="n">
        <v>87</v>
      </c>
      <c r="B88" s="12" t="n">
        <v>2</v>
      </c>
      <c r="C88" s="12" t="s">
        <v>11</v>
      </c>
      <c r="D88" s="12" t="s">
        <v>11</v>
      </c>
      <c r="E88" s="13" t="n">
        <v>0.95</v>
      </c>
      <c r="F88" s="14" t="n">
        <v>0.07</v>
      </c>
      <c r="G88" s="12" t="str">
        <f aca="false">IF(C88="idle","n/a",IF(C88=D88,"Yes","No"))</f>
        <v>Yes</v>
      </c>
      <c r="H88" s="15"/>
    </row>
    <row r="89" customFormat="false" ht="15" hidden="false" customHeight="false" outlineLevel="0" collapsed="false">
      <c r="A89" s="12" t="n">
        <v>88</v>
      </c>
      <c r="B89" s="12" t="n">
        <v>2</v>
      </c>
      <c r="C89" s="12" t="s">
        <v>11</v>
      </c>
      <c r="D89" s="12" t="s">
        <v>11</v>
      </c>
      <c r="E89" s="13" t="n">
        <v>0.39</v>
      </c>
      <c r="F89" s="14" t="n">
        <v>0.03</v>
      </c>
      <c r="G89" s="12" t="str">
        <f aca="false">IF(C89="idle","n/a",IF(C89=D89,"Yes","No"))</f>
        <v>Yes</v>
      </c>
      <c r="H89" s="15"/>
    </row>
    <row r="90" customFormat="false" ht="15" hidden="false" customHeight="false" outlineLevel="0" collapsed="false">
      <c r="A90" s="12" t="n">
        <v>89</v>
      </c>
      <c r="B90" s="12" t="n">
        <v>2</v>
      </c>
      <c r="C90" s="12" t="s">
        <v>11</v>
      </c>
      <c r="D90" s="12" t="s">
        <v>9</v>
      </c>
      <c r="E90" s="13" t="n">
        <v>0.3</v>
      </c>
      <c r="F90" s="14" t="n">
        <v>0.02</v>
      </c>
      <c r="G90" s="12" t="str">
        <f aca="false">IF(C90="idle","n/a",IF(C90=D90,"Yes","No"))</f>
        <v>No</v>
      </c>
      <c r="H90" s="15"/>
    </row>
    <row r="91" customFormat="false" ht="15" hidden="false" customHeight="false" outlineLevel="0" collapsed="false">
      <c r="A91" s="12" t="n">
        <v>90</v>
      </c>
      <c r="B91" s="12" t="n">
        <v>2</v>
      </c>
      <c r="C91" s="12" t="s">
        <v>11</v>
      </c>
      <c r="D91" s="12" t="s">
        <v>11</v>
      </c>
      <c r="E91" s="13" t="n">
        <v>0.99</v>
      </c>
      <c r="F91" s="14" t="n">
        <v>0.06</v>
      </c>
      <c r="G91" s="12" t="str">
        <f aca="false">IF(C91="idle","n/a",IF(C91=D91,"Yes","No"))</f>
        <v>Yes</v>
      </c>
      <c r="H91" s="15"/>
    </row>
    <row r="92" customFormat="false" ht="15" hidden="false" customHeight="false" outlineLevel="0" collapsed="false">
      <c r="A92" s="12" t="n">
        <v>91</v>
      </c>
      <c r="B92" s="12" t="n">
        <v>2</v>
      </c>
      <c r="C92" s="12" t="s">
        <v>11</v>
      </c>
      <c r="D92" s="12" t="s">
        <v>11</v>
      </c>
      <c r="E92" s="13" t="n">
        <v>0.99</v>
      </c>
      <c r="F92" s="14" t="n">
        <v>0.07</v>
      </c>
      <c r="G92" s="12" t="str">
        <f aca="false">IF(C92="idle","n/a",IF(C92=D92,"Yes","No"))</f>
        <v>Yes</v>
      </c>
      <c r="H92" s="15"/>
    </row>
    <row r="93" customFormat="false" ht="15" hidden="false" customHeight="false" outlineLevel="0" collapsed="false">
      <c r="A93" s="12" t="n">
        <v>92</v>
      </c>
      <c r="B93" s="12" t="n">
        <v>2</v>
      </c>
      <c r="C93" s="12" t="s">
        <v>11</v>
      </c>
      <c r="D93" s="12" t="s">
        <v>11</v>
      </c>
      <c r="E93" s="13" t="n">
        <v>0.98</v>
      </c>
      <c r="F93" s="14" t="n">
        <v>0.06</v>
      </c>
      <c r="G93" s="12" t="str">
        <f aca="false">IF(C93="idle","n/a",IF(C93=D93,"Yes","No"))</f>
        <v>Yes</v>
      </c>
      <c r="H93" s="15"/>
    </row>
    <row r="94" customFormat="false" ht="15" hidden="false" customHeight="false" outlineLevel="0" collapsed="false">
      <c r="A94" s="12" t="n">
        <v>93</v>
      </c>
      <c r="B94" s="12" t="n">
        <v>2</v>
      </c>
      <c r="C94" s="12" t="s">
        <v>11</v>
      </c>
      <c r="D94" s="12" t="s">
        <v>11</v>
      </c>
      <c r="E94" s="13" t="n">
        <v>0.98</v>
      </c>
      <c r="F94" s="14" t="n">
        <v>0.07</v>
      </c>
      <c r="G94" s="12" t="str">
        <f aca="false">IF(C94="idle","n/a",IF(C94=D94,"Yes","No"))</f>
        <v>Yes</v>
      </c>
      <c r="H94" s="15"/>
    </row>
    <row r="95" customFormat="false" ht="15" hidden="false" customHeight="false" outlineLevel="0" collapsed="false">
      <c r="A95" s="12" t="n">
        <v>94</v>
      </c>
      <c r="B95" s="12" t="n">
        <v>2</v>
      </c>
      <c r="C95" s="12" t="s">
        <v>11</v>
      </c>
      <c r="D95" s="12" t="s">
        <v>11</v>
      </c>
      <c r="E95" s="13" t="n">
        <v>0.82</v>
      </c>
      <c r="F95" s="14" t="n">
        <v>0.07</v>
      </c>
      <c r="G95" s="12" t="str">
        <f aca="false">IF(C95="idle","n/a",IF(C95=D95,"Yes","No"))</f>
        <v>Yes</v>
      </c>
      <c r="H95" s="15"/>
    </row>
    <row r="96" customFormat="false" ht="15" hidden="false" customHeight="false" outlineLevel="0" collapsed="false">
      <c r="A96" s="12" t="n">
        <v>95</v>
      </c>
      <c r="B96" s="12" t="n">
        <v>2</v>
      </c>
      <c r="C96" s="12" t="s">
        <v>11</v>
      </c>
      <c r="D96" s="12" t="s">
        <v>11</v>
      </c>
      <c r="E96" s="13" t="n">
        <v>0.96</v>
      </c>
      <c r="F96" s="14" t="n">
        <v>0.09</v>
      </c>
      <c r="G96" s="12" t="str">
        <f aca="false">IF(C96="idle","n/a",IF(C96=D96,"Yes","No"))</f>
        <v>Yes</v>
      </c>
      <c r="H96" s="15"/>
    </row>
    <row r="97" customFormat="false" ht="15" hidden="false" customHeight="false" outlineLevel="0" collapsed="false">
      <c r="A97" s="12" t="n">
        <v>96</v>
      </c>
      <c r="B97" s="12" t="n">
        <v>2</v>
      </c>
      <c r="C97" s="12" t="s">
        <v>11</v>
      </c>
      <c r="D97" s="12" t="s">
        <v>11</v>
      </c>
      <c r="E97" s="13" t="n">
        <v>0.96</v>
      </c>
      <c r="F97" s="14" t="n">
        <v>0.05</v>
      </c>
      <c r="G97" s="12" t="str">
        <f aca="false">IF(C97="idle","n/a",IF(C97=D97,"Yes","No"))</f>
        <v>Yes</v>
      </c>
      <c r="H97" s="15"/>
    </row>
    <row r="98" customFormat="false" ht="15" hidden="false" customHeight="false" outlineLevel="0" collapsed="false">
      <c r="A98" s="12" t="n">
        <v>97</v>
      </c>
      <c r="B98" s="12" t="n">
        <v>2</v>
      </c>
      <c r="C98" s="12" t="s">
        <v>11</v>
      </c>
      <c r="D98" s="12" t="s">
        <v>11</v>
      </c>
      <c r="E98" s="13" t="n">
        <v>0.98</v>
      </c>
      <c r="F98" s="14" t="n">
        <v>0.06</v>
      </c>
      <c r="G98" s="12" t="str">
        <f aca="false">IF(C98="idle","n/a",IF(C98=D98,"Yes","No"))</f>
        <v>Yes</v>
      </c>
      <c r="H98" s="15"/>
    </row>
    <row r="99" customFormat="false" ht="15" hidden="false" customHeight="false" outlineLevel="0" collapsed="false">
      <c r="A99" s="12" t="n">
        <v>98</v>
      </c>
      <c r="B99" s="12" t="n">
        <v>2</v>
      </c>
      <c r="C99" s="12" t="s">
        <v>11</v>
      </c>
      <c r="D99" s="12" t="s">
        <v>11</v>
      </c>
      <c r="E99" s="13" t="n">
        <v>0.98</v>
      </c>
      <c r="F99" s="14" t="n">
        <v>0.08</v>
      </c>
      <c r="G99" s="12" t="str">
        <f aca="false">IF(C99="idle","n/a",IF(C99=D99,"Yes","No"))</f>
        <v>Yes</v>
      </c>
      <c r="H99" s="15"/>
    </row>
    <row r="100" customFormat="false" ht="15" hidden="false" customHeight="false" outlineLevel="0" collapsed="false">
      <c r="A100" s="12" t="n">
        <v>99</v>
      </c>
      <c r="B100" s="12" t="n">
        <v>2</v>
      </c>
      <c r="C100" s="12" t="s">
        <v>11</v>
      </c>
      <c r="D100" s="12" t="s">
        <v>11</v>
      </c>
      <c r="E100" s="13" t="n">
        <v>0.99</v>
      </c>
      <c r="F100" s="14" t="n">
        <v>0.07</v>
      </c>
      <c r="G100" s="12" t="str">
        <f aca="false">IF(C100="idle","n/a",IF(C100=D100,"Yes","No"))</f>
        <v>Yes</v>
      </c>
      <c r="H100" s="15"/>
    </row>
    <row r="101" customFormat="false" ht="15" hidden="false" customHeight="false" outlineLevel="0" collapsed="false">
      <c r="A101" s="12" t="n">
        <v>100</v>
      </c>
      <c r="B101" s="12" t="n">
        <v>2</v>
      </c>
      <c r="C101" s="12" t="s">
        <v>11</v>
      </c>
      <c r="D101" s="12" t="s">
        <v>11</v>
      </c>
      <c r="E101" s="13" t="n">
        <v>0.96</v>
      </c>
      <c r="F101" s="14" t="n">
        <v>0.07</v>
      </c>
      <c r="G101" s="12" t="str">
        <f aca="false">IF(C101="idle","n/a",IF(C101=D101,"Yes","No"))</f>
        <v>Yes</v>
      </c>
      <c r="H101" s="15"/>
    </row>
    <row r="102" customFormat="false" ht="15" hidden="false" customHeight="false" outlineLevel="0" collapsed="false">
      <c r="A102" s="12" t="n">
        <v>101</v>
      </c>
      <c r="B102" s="12" t="n">
        <v>2</v>
      </c>
      <c r="C102" s="12" t="s">
        <v>12</v>
      </c>
      <c r="D102" s="12" t="s">
        <v>9</v>
      </c>
      <c r="E102" s="13" t="n">
        <v>0.24</v>
      </c>
      <c r="F102" s="14" t="n">
        <v>0.03</v>
      </c>
      <c r="G102" s="12" t="str">
        <f aca="false">IF(C102="idle","n/a",IF(C102=D102,"Yes","No"))</f>
        <v>No</v>
      </c>
      <c r="H102" s="15" t="s">
        <v>44</v>
      </c>
    </row>
    <row r="103" customFormat="false" ht="15" hidden="false" customHeight="false" outlineLevel="0" collapsed="false">
      <c r="A103" s="12" t="n">
        <v>102</v>
      </c>
      <c r="B103" s="12" t="n">
        <v>2</v>
      </c>
      <c r="C103" s="12" t="s">
        <v>12</v>
      </c>
      <c r="D103" s="12" t="s">
        <v>12</v>
      </c>
      <c r="E103" s="13" t="n">
        <v>0.97</v>
      </c>
      <c r="F103" s="14" t="n">
        <v>0.06</v>
      </c>
      <c r="G103" s="12" t="str">
        <f aca="false">IF(C103="idle","n/a",IF(C103=D103,"Yes","No"))</f>
        <v>Yes</v>
      </c>
      <c r="H103" s="15"/>
    </row>
    <row r="104" customFormat="false" ht="15" hidden="false" customHeight="false" outlineLevel="0" collapsed="false">
      <c r="A104" s="12" t="n">
        <v>103</v>
      </c>
      <c r="B104" s="12" t="n">
        <v>2</v>
      </c>
      <c r="C104" s="12" t="s">
        <v>12</v>
      </c>
      <c r="D104" s="12" t="s">
        <v>12</v>
      </c>
      <c r="E104" s="13" t="n">
        <v>0.99</v>
      </c>
      <c r="F104" s="14" t="n">
        <v>0.08</v>
      </c>
      <c r="G104" s="12" t="str">
        <f aca="false">IF(C104="idle","n/a",IF(C104=D104,"Yes","No"))</f>
        <v>Yes</v>
      </c>
      <c r="H104" s="15"/>
    </row>
    <row r="105" customFormat="false" ht="15" hidden="false" customHeight="false" outlineLevel="0" collapsed="false">
      <c r="A105" s="12" t="n">
        <v>104</v>
      </c>
      <c r="B105" s="12" t="n">
        <v>2</v>
      </c>
      <c r="C105" s="12" t="s">
        <v>12</v>
      </c>
      <c r="D105" s="12" t="s">
        <v>12</v>
      </c>
      <c r="E105" s="13" t="n">
        <v>0.99</v>
      </c>
      <c r="F105" s="14" t="n">
        <v>0.07</v>
      </c>
      <c r="G105" s="12" t="str">
        <f aca="false">IF(C105="idle","n/a",IF(C105=D105,"Yes","No"))</f>
        <v>Yes</v>
      </c>
      <c r="H105" s="15"/>
    </row>
    <row r="106" customFormat="false" ht="15" hidden="false" customHeight="false" outlineLevel="0" collapsed="false">
      <c r="A106" s="12" t="n">
        <v>105</v>
      </c>
      <c r="B106" s="12" t="n">
        <v>2</v>
      </c>
      <c r="C106" s="12" t="s">
        <v>12</v>
      </c>
      <c r="D106" s="12" t="s">
        <v>12</v>
      </c>
      <c r="E106" s="13" t="n">
        <v>0.87</v>
      </c>
      <c r="F106" s="14" t="n">
        <v>0.06</v>
      </c>
      <c r="G106" s="12" t="str">
        <f aca="false">IF(C106="idle","n/a",IF(C106=D106,"Yes","No"))</f>
        <v>Yes</v>
      </c>
      <c r="H106" s="15"/>
    </row>
    <row r="107" customFormat="false" ht="15" hidden="false" customHeight="false" outlineLevel="0" collapsed="false">
      <c r="A107" s="12" t="n">
        <v>106</v>
      </c>
      <c r="B107" s="12" t="n">
        <v>2</v>
      </c>
      <c r="C107" s="12" t="s">
        <v>12</v>
      </c>
      <c r="D107" s="12" t="s">
        <v>12</v>
      </c>
      <c r="E107" s="13" t="n">
        <v>0.4</v>
      </c>
      <c r="F107" s="14" t="n">
        <v>0.04</v>
      </c>
      <c r="G107" s="12" t="str">
        <f aca="false">IF(C107="idle","n/a",IF(C107=D107,"Yes","No"))</f>
        <v>Yes</v>
      </c>
      <c r="H107" s="15"/>
    </row>
    <row r="108" customFormat="false" ht="15" hidden="false" customHeight="false" outlineLevel="0" collapsed="false">
      <c r="A108" s="12" t="n">
        <v>107</v>
      </c>
      <c r="B108" s="12" t="n">
        <v>2</v>
      </c>
      <c r="C108" s="12" t="s">
        <v>12</v>
      </c>
      <c r="D108" s="12" t="s">
        <v>12</v>
      </c>
      <c r="E108" s="13" t="n">
        <v>0.93</v>
      </c>
      <c r="F108" s="14" t="n">
        <v>0.09</v>
      </c>
      <c r="G108" s="12" t="str">
        <f aca="false">IF(C108="idle","n/a",IF(C108=D108,"Yes","No"))</f>
        <v>Yes</v>
      </c>
      <c r="H108" s="15"/>
    </row>
    <row r="109" customFormat="false" ht="15" hidden="false" customHeight="false" outlineLevel="0" collapsed="false">
      <c r="A109" s="12" t="n">
        <v>108</v>
      </c>
      <c r="B109" s="12" t="n">
        <v>2</v>
      </c>
      <c r="C109" s="12" t="s">
        <v>12</v>
      </c>
      <c r="D109" s="12" t="s">
        <v>12</v>
      </c>
      <c r="E109" s="13" t="n">
        <v>0.89</v>
      </c>
      <c r="F109" s="14" t="n">
        <v>0.06</v>
      </c>
      <c r="G109" s="12" t="str">
        <f aca="false">IF(C109="idle","n/a",IF(C109=D109,"Yes","No"))</f>
        <v>Yes</v>
      </c>
      <c r="H109" s="15"/>
    </row>
    <row r="110" customFormat="false" ht="15" hidden="false" customHeight="false" outlineLevel="0" collapsed="false">
      <c r="A110" s="12" t="n">
        <v>109</v>
      </c>
      <c r="B110" s="12" t="n">
        <v>2</v>
      </c>
      <c r="C110" s="12" t="s">
        <v>12</v>
      </c>
      <c r="D110" s="12" t="s">
        <v>12</v>
      </c>
      <c r="E110" s="13" t="n">
        <v>0.98</v>
      </c>
      <c r="F110" s="14" t="n">
        <v>0.06</v>
      </c>
      <c r="G110" s="12" t="str">
        <f aca="false">IF(C110="idle","n/a",IF(C110=D110,"Yes","No"))</f>
        <v>Yes</v>
      </c>
      <c r="H110" s="15"/>
    </row>
    <row r="111" customFormat="false" ht="15" hidden="false" customHeight="false" outlineLevel="0" collapsed="false">
      <c r="A111" s="12" t="n">
        <v>110</v>
      </c>
      <c r="B111" s="12" t="n">
        <v>2</v>
      </c>
      <c r="C111" s="12" t="s">
        <v>12</v>
      </c>
      <c r="D111" s="12" t="s">
        <v>12</v>
      </c>
      <c r="E111" s="13" t="n">
        <v>0.99</v>
      </c>
      <c r="F111" s="14" t="n">
        <v>0.05</v>
      </c>
      <c r="G111" s="12" t="str">
        <f aca="false">IF(C111="idle","n/a",IF(C111=D111,"Yes","No"))</f>
        <v>Yes</v>
      </c>
      <c r="H111" s="15"/>
    </row>
    <row r="112" customFormat="false" ht="15" hidden="false" customHeight="false" outlineLevel="0" collapsed="false">
      <c r="A112" s="12" t="n">
        <v>111</v>
      </c>
      <c r="B112" s="12" t="n">
        <v>2</v>
      </c>
      <c r="C112" s="12" t="s">
        <v>12</v>
      </c>
      <c r="D112" s="12" t="s">
        <v>12</v>
      </c>
      <c r="E112" s="13" t="n">
        <v>0.97</v>
      </c>
      <c r="F112" s="14" t="n">
        <v>0.06</v>
      </c>
      <c r="G112" s="12" t="str">
        <f aca="false">IF(C112="idle","n/a",IF(C112=D112,"Yes","No"))</f>
        <v>Yes</v>
      </c>
      <c r="H112" s="15"/>
    </row>
    <row r="113" customFormat="false" ht="15" hidden="false" customHeight="false" outlineLevel="0" collapsed="false">
      <c r="A113" s="12" t="n">
        <v>112</v>
      </c>
      <c r="B113" s="12" t="n">
        <v>2</v>
      </c>
      <c r="C113" s="12" t="s">
        <v>12</v>
      </c>
      <c r="D113" s="12" t="s">
        <v>12</v>
      </c>
      <c r="E113" s="13" t="n">
        <v>0.99</v>
      </c>
      <c r="F113" s="14" t="n">
        <v>0.05</v>
      </c>
      <c r="G113" s="12" t="str">
        <f aca="false">IF(C113="idle","n/a",IF(C113=D113,"Yes","No"))</f>
        <v>Yes</v>
      </c>
      <c r="H113" s="15"/>
    </row>
    <row r="114" customFormat="false" ht="15" hidden="false" customHeight="false" outlineLevel="0" collapsed="false">
      <c r="A114" s="12" t="n">
        <v>113</v>
      </c>
      <c r="B114" s="12" t="n">
        <v>2</v>
      </c>
      <c r="C114" s="12" t="s">
        <v>12</v>
      </c>
      <c r="D114" s="12" t="s">
        <v>12</v>
      </c>
      <c r="E114" s="13" t="n">
        <v>0.35</v>
      </c>
      <c r="F114" s="14" t="n">
        <v>0.02</v>
      </c>
      <c r="G114" s="12" t="str">
        <f aca="false">IF(C114="idle","n/a",IF(C114=D114,"Yes","No"))</f>
        <v>Yes</v>
      </c>
      <c r="H114" s="15"/>
    </row>
    <row r="115" customFormat="false" ht="15" hidden="false" customHeight="false" outlineLevel="0" collapsed="false">
      <c r="A115" s="12" t="n">
        <v>114</v>
      </c>
      <c r="B115" s="12" t="n">
        <v>2</v>
      </c>
      <c r="C115" s="12" t="s">
        <v>12</v>
      </c>
      <c r="D115" s="12" t="s">
        <v>12</v>
      </c>
      <c r="E115" s="13" t="n">
        <v>0.68</v>
      </c>
      <c r="F115" s="14" t="n">
        <v>0.08</v>
      </c>
      <c r="G115" s="12" t="str">
        <f aca="false">IF(C115="idle","n/a",IF(C115=D115,"Yes","No"))</f>
        <v>Yes</v>
      </c>
      <c r="H115" s="15"/>
    </row>
    <row r="116" customFormat="false" ht="15" hidden="false" customHeight="false" outlineLevel="0" collapsed="false">
      <c r="A116" s="12" t="n">
        <v>115</v>
      </c>
      <c r="B116" s="12" t="n">
        <v>2</v>
      </c>
      <c r="C116" s="12" t="s">
        <v>12</v>
      </c>
      <c r="D116" s="12" t="s">
        <v>12</v>
      </c>
      <c r="E116" s="13" t="n">
        <v>0.65</v>
      </c>
      <c r="F116" s="14" t="n">
        <v>0.08</v>
      </c>
      <c r="G116" s="12" t="str">
        <f aca="false">IF(C116="idle","n/a",IF(C116=D116,"Yes","No"))</f>
        <v>Yes</v>
      </c>
      <c r="H116" s="15"/>
    </row>
    <row r="117" customFormat="false" ht="15" hidden="false" customHeight="false" outlineLevel="0" collapsed="false">
      <c r="A117" s="12" t="n">
        <v>116</v>
      </c>
      <c r="B117" s="12" t="n">
        <v>2</v>
      </c>
      <c r="C117" s="12" t="s">
        <v>12</v>
      </c>
      <c r="D117" s="12" t="s">
        <v>12</v>
      </c>
      <c r="E117" s="13" t="n">
        <v>0.98</v>
      </c>
      <c r="F117" s="14" t="n">
        <v>0.06</v>
      </c>
      <c r="G117" s="12" t="str">
        <f aca="false">IF(C117="idle","n/a",IF(C117=D117,"Yes","No"))</f>
        <v>Yes</v>
      </c>
      <c r="H117" s="15"/>
    </row>
    <row r="118" customFormat="false" ht="15" hidden="false" customHeight="false" outlineLevel="0" collapsed="false">
      <c r="A118" s="12" t="n">
        <v>117</v>
      </c>
      <c r="B118" s="12" t="n">
        <v>2</v>
      </c>
      <c r="C118" s="12" t="s">
        <v>12</v>
      </c>
      <c r="D118" s="12" t="s">
        <v>12</v>
      </c>
      <c r="E118" s="13" t="n">
        <v>0.97</v>
      </c>
      <c r="F118" s="14" t="n">
        <v>0.06</v>
      </c>
      <c r="G118" s="12" t="str">
        <f aca="false">IF(C118="idle","n/a",IF(C118=D118,"Yes","No"))</f>
        <v>Yes</v>
      </c>
      <c r="H118" s="15"/>
    </row>
    <row r="119" customFormat="false" ht="15" hidden="false" customHeight="false" outlineLevel="0" collapsed="false">
      <c r="A119" s="12" t="n">
        <v>118</v>
      </c>
      <c r="B119" s="12" t="n">
        <v>2</v>
      </c>
      <c r="C119" s="12" t="s">
        <v>12</v>
      </c>
      <c r="D119" s="12" t="s">
        <v>12</v>
      </c>
      <c r="E119" s="13" t="n">
        <v>0.81</v>
      </c>
      <c r="F119" s="14" t="n">
        <v>0.05</v>
      </c>
      <c r="G119" s="12" t="str">
        <f aca="false">IF(C119="idle","n/a",IF(C119=D119,"Yes","No"))</f>
        <v>Yes</v>
      </c>
      <c r="H119" s="15"/>
    </row>
    <row r="120" customFormat="false" ht="15" hidden="false" customHeight="false" outlineLevel="0" collapsed="false">
      <c r="A120" s="12" t="n">
        <v>119</v>
      </c>
      <c r="B120" s="12" t="n">
        <v>2</v>
      </c>
      <c r="C120" s="12" t="s">
        <v>12</v>
      </c>
      <c r="D120" s="12" t="s">
        <v>12</v>
      </c>
      <c r="E120" s="13" t="n">
        <v>0.85</v>
      </c>
      <c r="F120" s="14" t="n">
        <v>0.06</v>
      </c>
      <c r="G120" s="12" t="str">
        <f aca="false">IF(C120="idle","n/a",IF(C120=D120,"Yes","No"))</f>
        <v>Yes</v>
      </c>
      <c r="H120" s="15"/>
    </row>
    <row r="121" customFormat="false" ht="15" hidden="false" customHeight="false" outlineLevel="0" collapsed="false">
      <c r="A121" s="12" t="n">
        <v>120</v>
      </c>
      <c r="B121" s="12" t="n">
        <v>2</v>
      </c>
      <c r="C121" s="12" t="s">
        <v>12</v>
      </c>
      <c r="D121" s="12" t="s">
        <v>12</v>
      </c>
      <c r="E121" s="13" t="n">
        <v>0.97</v>
      </c>
      <c r="F121" s="14" t="n">
        <v>0.09</v>
      </c>
      <c r="G121" s="12" t="str">
        <f aca="false">IF(C121="idle","n/a",IF(C121=D121,"Yes","No"))</f>
        <v>Yes</v>
      </c>
      <c r="H121" s="15"/>
    </row>
    <row r="122" customFormat="false" ht="15" hidden="false" customHeight="false" outlineLevel="0" collapsed="false">
      <c r="A122" s="12" t="n">
        <v>121</v>
      </c>
      <c r="B122" s="12" t="n">
        <v>2</v>
      </c>
      <c r="C122" s="12" t="s">
        <v>12</v>
      </c>
      <c r="D122" s="12" t="s">
        <v>12</v>
      </c>
      <c r="E122" s="13" t="n">
        <v>0.98</v>
      </c>
      <c r="F122" s="14" t="n">
        <v>0.06</v>
      </c>
      <c r="G122" s="12" t="str">
        <f aca="false">IF(C122="idle","n/a",IF(C122=D122,"Yes","No"))</f>
        <v>Yes</v>
      </c>
      <c r="H122" s="15"/>
    </row>
    <row r="123" customFormat="false" ht="15" hidden="false" customHeight="false" outlineLevel="0" collapsed="false">
      <c r="A123" s="12" t="n">
        <v>122</v>
      </c>
      <c r="B123" s="12" t="n">
        <v>2</v>
      </c>
      <c r="C123" s="12" t="s">
        <v>12</v>
      </c>
      <c r="D123" s="12" t="s">
        <v>12</v>
      </c>
      <c r="E123" s="13" t="n">
        <v>0.99</v>
      </c>
      <c r="F123" s="14" t="n">
        <v>0.07</v>
      </c>
      <c r="G123" s="12" t="str">
        <f aca="false">IF(C123="idle","n/a",IF(C123=D123,"Yes","No"))</f>
        <v>Yes</v>
      </c>
      <c r="H123" s="15"/>
    </row>
    <row r="124" customFormat="false" ht="15" hidden="false" customHeight="false" outlineLevel="0" collapsed="false">
      <c r="A124" s="12" t="n">
        <v>123</v>
      </c>
      <c r="B124" s="12" t="n">
        <v>2</v>
      </c>
      <c r="C124" s="12" t="s">
        <v>12</v>
      </c>
      <c r="D124" s="12" t="s">
        <v>12</v>
      </c>
      <c r="E124" s="13" t="n">
        <v>0.91</v>
      </c>
      <c r="F124" s="14" t="n">
        <v>0.08</v>
      </c>
      <c r="G124" s="12" t="str">
        <f aca="false">IF(C124="idle","n/a",IF(C124=D124,"Yes","No"))</f>
        <v>Yes</v>
      </c>
      <c r="H124" s="15"/>
    </row>
    <row r="125" customFormat="false" ht="15" hidden="false" customHeight="false" outlineLevel="0" collapsed="false">
      <c r="A125" s="12" t="n">
        <v>124</v>
      </c>
      <c r="B125" s="12" t="n">
        <v>2</v>
      </c>
      <c r="C125" s="12" t="s">
        <v>12</v>
      </c>
      <c r="D125" s="12" t="s">
        <v>12</v>
      </c>
      <c r="E125" s="13" t="n">
        <v>0.86</v>
      </c>
      <c r="F125" s="14" t="n">
        <v>0.06</v>
      </c>
      <c r="G125" s="12" t="str">
        <f aca="false">IF(C125="idle","n/a",IF(C125=D125,"Yes","No"))</f>
        <v>Yes</v>
      </c>
      <c r="H125" s="15"/>
    </row>
    <row r="126" customFormat="false" ht="15" hidden="false" customHeight="false" outlineLevel="0" collapsed="false">
      <c r="A126" s="12" t="n">
        <v>125</v>
      </c>
      <c r="B126" s="12" t="n">
        <v>2</v>
      </c>
      <c r="C126" s="12" t="s">
        <v>12</v>
      </c>
      <c r="D126" s="12" t="s">
        <v>12</v>
      </c>
      <c r="E126" s="13" t="n">
        <v>0.98</v>
      </c>
      <c r="F126" s="14" t="n">
        <v>0.08</v>
      </c>
      <c r="G126" s="12" t="str">
        <f aca="false">IF(C126="idle","n/a",IF(C126=D126,"Yes","No"))</f>
        <v>Yes</v>
      </c>
      <c r="H126" s="15"/>
    </row>
    <row r="127" customFormat="false" ht="15" hidden="false" customHeight="false" outlineLevel="0" collapsed="false">
      <c r="A127" s="12" t="n">
        <v>126</v>
      </c>
      <c r="B127" s="12" t="n">
        <v>2</v>
      </c>
      <c r="C127" s="12" t="s">
        <v>12</v>
      </c>
      <c r="D127" s="12" t="s">
        <v>12</v>
      </c>
      <c r="E127" s="13" t="n">
        <v>0.98</v>
      </c>
      <c r="F127" s="14" t="n">
        <v>0.08</v>
      </c>
      <c r="G127" s="12" t="str">
        <f aca="false">IF(C127="idle","n/a",IF(C127=D127,"Yes","No"))</f>
        <v>Yes</v>
      </c>
      <c r="H127" s="15"/>
    </row>
    <row r="128" customFormat="false" ht="15" hidden="false" customHeight="false" outlineLevel="0" collapsed="false">
      <c r="A128" s="12" t="n">
        <v>127</v>
      </c>
      <c r="B128" s="12" t="n">
        <v>2</v>
      </c>
      <c r="C128" s="12" t="s">
        <v>12</v>
      </c>
      <c r="D128" s="12" t="s">
        <v>12</v>
      </c>
      <c r="E128" s="13" t="n">
        <v>0.99</v>
      </c>
      <c r="F128" s="14" t="n">
        <v>0.13</v>
      </c>
      <c r="G128" s="12" t="str">
        <f aca="false">IF(C128="idle","n/a",IF(C128=D128,"Yes","No"))</f>
        <v>Yes</v>
      </c>
      <c r="H128" s="15"/>
    </row>
    <row r="129" customFormat="false" ht="15" hidden="false" customHeight="false" outlineLevel="0" collapsed="false">
      <c r="A129" s="12" t="n">
        <v>128</v>
      </c>
      <c r="B129" s="12" t="n">
        <v>2</v>
      </c>
      <c r="C129" s="12" t="s">
        <v>13</v>
      </c>
      <c r="D129" s="12" t="s">
        <v>11</v>
      </c>
      <c r="E129" s="13" t="n">
        <v>0.45</v>
      </c>
      <c r="F129" s="14" t="n">
        <v>0.11</v>
      </c>
      <c r="G129" s="12" t="str">
        <f aca="false">IF(C129="idle","n/a",IF(C129=D129,"Yes","No"))</f>
        <v>No</v>
      </c>
      <c r="H129" s="15" t="s">
        <v>45</v>
      </c>
    </row>
    <row r="130" customFormat="false" ht="15" hidden="false" customHeight="false" outlineLevel="0" collapsed="false">
      <c r="A130" s="12" t="n">
        <v>129</v>
      </c>
      <c r="B130" s="12" t="n">
        <v>2</v>
      </c>
      <c r="C130" s="12" t="s">
        <v>13</v>
      </c>
      <c r="D130" s="12" t="s">
        <v>13</v>
      </c>
      <c r="E130" s="13" t="n">
        <v>0.58</v>
      </c>
      <c r="F130" s="14" t="n">
        <v>0.03</v>
      </c>
      <c r="G130" s="12" t="str">
        <f aca="false">IF(C130="idle","n/a",IF(C130=D130,"Yes","No"))</f>
        <v>Yes</v>
      </c>
      <c r="H130" s="15"/>
    </row>
    <row r="131" customFormat="false" ht="15" hidden="false" customHeight="false" outlineLevel="0" collapsed="false">
      <c r="A131" s="12" t="n">
        <v>130</v>
      </c>
      <c r="B131" s="12" t="n">
        <v>2</v>
      </c>
      <c r="C131" s="12" t="s">
        <v>13</v>
      </c>
      <c r="D131" s="12" t="s">
        <v>13</v>
      </c>
      <c r="E131" s="13" t="n">
        <v>0.97</v>
      </c>
      <c r="F131" s="14" t="n">
        <v>0.11</v>
      </c>
      <c r="G131" s="12" t="str">
        <f aca="false">IF(C131="idle","n/a",IF(C131=D131,"Yes","No"))</f>
        <v>Yes</v>
      </c>
      <c r="H131" s="15"/>
    </row>
    <row r="132" customFormat="false" ht="15" hidden="false" customHeight="false" outlineLevel="0" collapsed="false">
      <c r="A132" s="12" t="n">
        <v>131</v>
      </c>
      <c r="B132" s="12" t="n">
        <v>2</v>
      </c>
      <c r="C132" s="12" t="s">
        <v>13</v>
      </c>
      <c r="D132" s="12" t="s">
        <v>13</v>
      </c>
      <c r="E132" s="13" t="n">
        <v>0.98</v>
      </c>
      <c r="F132" s="14" t="n">
        <v>0.09</v>
      </c>
      <c r="G132" s="12" t="str">
        <f aca="false">IF(C132="idle","n/a",IF(C132=D132,"Yes","No"))</f>
        <v>Yes</v>
      </c>
      <c r="H132" s="15"/>
    </row>
    <row r="133" customFormat="false" ht="15" hidden="false" customHeight="false" outlineLevel="0" collapsed="false">
      <c r="A133" s="12" t="n">
        <v>132</v>
      </c>
      <c r="B133" s="12" t="n">
        <v>2</v>
      </c>
      <c r="C133" s="12" t="s">
        <v>13</v>
      </c>
      <c r="D133" s="12" t="s">
        <v>13</v>
      </c>
      <c r="E133" s="13" t="n">
        <v>0.96</v>
      </c>
      <c r="F133" s="14" t="n">
        <v>0.08</v>
      </c>
      <c r="G133" s="12" t="str">
        <f aca="false">IF(C133="idle","n/a",IF(C133=D133,"Yes","No"))</f>
        <v>Yes</v>
      </c>
      <c r="H133" s="15"/>
    </row>
    <row r="134" customFormat="false" ht="15" hidden="false" customHeight="false" outlineLevel="0" collapsed="false">
      <c r="A134" s="12" t="n">
        <v>133</v>
      </c>
      <c r="B134" s="12" t="n">
        <v>2</v>
      </c>
      <c r="C134" s="12" t="s">
        <v>13</v>
      </c>
      <c r="D134" s="12" t="s">
        <v>13</v>
      </c>
      <c r="E134" s="13" t="n">
        <v>0.58</v>
      </c>
      <c r="F134" s="14" t="n">
        <v>0.08</v>
      </c>
      <c r="G134" s="12" t="str">
        <f aca="false">IF(C134="idle","n/a",IF(C134=D134,"Yes","No"))</f>
        <v>Yes</v>
      </c>
      <c r="H134" s="15"/>
    </row>
    <row r="135" customFormat="false" ht="15" hidden="false" customHeight="false" outlineLevel="0" collapsed="false">
      <c r="A135" s="12" t="n">
        <v>134</v>
      </c>
      <c r="B135" s="12" t="n">
        <v>2</v>
      </c>
      <c r="C135" s="12" t="s">
        <v>13</v>
      </c>
      <c r="D135" s="12" t="s">
        <v>13</v>
      </c>
      <c r="E135" s="13" t="n">
        <v>0.87</v>
      </c>
      <c r="F135" s="14" t="n">
        <v>0.08</v>
      </c>
      <c r="G135" s="12" t="str">
        <f aca="false">IF(C135="idle","n/a",IF(C135=D135,"Yes","No"))</f>
        <v>Yes</v>
      </c>
      <c r="H135" s="15"/>
    </row>
    <row r="136" customFormat="false" ht="15" hidden="false" customHeight="false" outlineLevel="0" collapsed="false">
      <c r="A136" s="12" t="n">
        <v>135</v>
      </c>
      <c r="B136" s="12" t="n">
        <v>2</v>
      </c>
      <c r="C136" s="12" t="s">
        <v>13</v>
      </c>
      <c r="D136" s="12" t="s">
        <v>13</v>
      </c>
      <c r="E136" s="13" t="n">
        <v>0.94</v>
      </c>
      <c r="F136" s="14" t="n">
        <v>0.08</v>
      </c>
      <c r="G136" s="12" t="str">
        <f aca="false">IF(C136="idle","n/a",IF(C136=D136,"Yes","No"))</f>
        <v>Yes</v>
      </c>
      <c r="H136" s="15"/>
    </row>
    <row r="137" customFormat="false" ht="15" hidden="false" customHeight="false" outlineLevel="0" collapsed="false">
      <c r="A137" s="12" t="n">
        <v>136</v>
      </c>
      <c r="B137" s="12" t="n">
        <v>2</v>
      </c>
      <c r="C137" s="12" t="s">
        <v>13</v>
      </c>
      <c r="D137" s="12" t="s">
        <v>13</v>
      </c>
      <c r="E137" s="13" t="n">
        <v>0.92</v>
      </c>
      <c r="F137" s="14" t="n">
        <v>0.06</v>
      </c>
      <c r="G137" s="12" t="str">
        <f aca="false">IF(C137="idle","n/a",IF(C137=D137,"Yes","No"))</f>
        <v>Yes</v>
      </c>
      <c r="H137" s="15"/>
    </row>
    <row r="138" customFormat="false" ht="15" hidden="false" customHeight="false" outlineLevel="0" collapsed="false">
      <c r="A138" s="12" t="n">
        <v>137</v>
      </c>
      <c r="B138" s="12" t="n">
        <v>2</v>
      </c>
      <c r="C138" s="12" t="s">
        <v>13</v>
      </c>
      <c r="D138" s="12" t="s">
        <v>13</v>
      </c>
      <c r="E138" s="13" t="n">
        <v>0.87</v>
      </c>
      <c r="F138" s="14" t="n">
        <v>0.07</v>
      </c>
      <c r="G138" s="12" t="str">
        <f aca="false">IF(C138="idle","n/a",IF(C138=D138,"Yes","No"))</f>
        <v>Yes</v>
      </c>
      <c r="H138" s="15"/>
    </row>
    <row r="139" customFormat="false" ht="15" hidden="false" customHeight="false" outlineLevel="0" collapsed="false">
      <c r="A139" s="12" t="n">
        <v>138</v>
      </c>
      <c r="B139" s="12" t="n">
        <v>2</v>
      </c>
      <c r="C139" s="12" t="s">
        <v>13</v>
      </c>
      <c r="D139" s="12" t="s">
        <v>13</v>
      </c>
      <c r="E139" s="13" t="n">
        <v>0.95</v>
      </c>
      <c r="F139" s="14" t="n">
        <v>0.08</v>
      </c>
      <c r="G139" s="12" t="str">
        <f aca="false">IF(C139="idle","n/a",IF(C139=D139,"Yes","No"))</f>
        <v>Yes</v>
      </c>
      <c r="H139" s="15"/>
    </row>
    <row r="140" customFormat="false" ht="15" hidden="false" customHeight="false" outlineLevel="0" collapsed="false">
      <c r="A140" s="12" t="n">
        <v>139</v>
      </c>
      <c r="B140" s="12" t="n">
        <v>2</v>
      </c>
      <c r="C140" s="12" t="s">
        <v>13</v>
      </c>
      <c r="D140" s="12" t="s">
        <v>13</v>
      </c>
      <c r="E140" s="13" t="n">
        <v>0.54</v>
      </c>
      <c r="F140" s="14" t="n">
        <v>0.07</v>
      </c>
      <c r="G140" s="12" t="str">
        <f aca="false">IF(C140="idle","n/a",IF(C140=D140,"Yes","No"))</f>
        <v>Yes</v>
      </c>
      <c r="H140" s="15"/>
    </row>
    <row r="141" customFormat="false" ht="15" hidden="false" customHeight="false" outlineLevel="0" collapsed="false">
      <c r="A141" s="12" t="n">
        <v>140</v>
      </c>
      <c r="B141" s="12" t="n">
        <v>2</v>
      </c>
      <c r="C141" s="12" t="s">
        <v>13</v>
      </c>
      <c r="D141" s="12" t="s">
        <v>13</v>
      </c>
      <c r="E141" s="13" t="n">
        <v>0.84</v>
      </c>
      <c r="F141" s="14" t="n">
        <v>0.06</v>
      </c>
      <c r="G141" s="12" t="str">
        <f aca="false">IF(C141="idle","n/a",IF(C141=D141,"Yes","No"))</f>
        <v>Yes</v>
      </c>
      <c r="H141" s="15"/>
    </row>
    <row r="142" customFormat="false" ht="15" hidden="false" customHeight="false" outlineLevel="0" collapsed="false">
      <c r="A142" s="12" t="n">
        <v>141</v>
      </c>
      <c r="B142" s="12" t="n">
        <v>2</v>
      </c>
      <c r="C142" s="12" t="s">
        <v>13</v>
      </c>
      <c r="D142" s="12" t="s">
        <v>13</v>
      </c>
      <c r="E142" s="13" t="n">
        <v>0.63</v>
      </c>
      <c r="F142" s="14" t="n">
        <v>0.07</v>
      </c>
      <c r="G142" s="12" t="str">
        <f aca="false">IF(C142="idle","n/a",IF(C142=D142,"Yes","No"))</f>
        <v>Yes</v>
      </c>
      <c r="H142" s="15"/>
    </row>
    <row r="143" customFormat="false" ht="15" hidden="false" customHeight="false" outlineLevel="0" collapsed="false">
      <c r="A143" s="12" t="n">
        <v>142</v>
      </c>
      <c r="B143" s="12" t="n">
        <v>2</v>
      </c>
      <c r="C143" s="12" t="s">
        <v>13</v>
      </c>
      <c r="D143" s="12" t="s">
        <v>13</v>
      </c>
      <c r="E143" s="13" t="n">
        <v>0.92</v>
      </c>
      <c r="F143" s="14" t="n">
        <v>0.06</v>
      </c>
      <c r="G143" s="12" t="str">
        <f aca="false">IF(C143="idle","n/a",IF(C143=D143,"Yes","No"))</f>
        <v>Yes</v>
      </c>
      <c r="H143" s="15"/>
    </row>
    <row r="144" customFormat="false" ht="15" hidden="false" customHeight="false" outlineLevel="0" collapsed="false">
      <c r="A144" s="12" t="n">
        <v>143</v>
      </c>
      <c r="B144" s="12" t="n">
        <v>2</v>
      </c>
      <c r="C144" s="12" t="s">
        <v>13</v>
      </c>
      <c r="D144" s="12" t="s">
        <v>13</v>
      </c>
      <c r="E144" s="13" t="n">
        <v>0.76</v>
      </c>
      <c r="F144" s="14" t="n">
        <v>0.06</v>
      </c>
      <c r="G144" s="12" t="str">
        <f aca="false">IF(C144="idle","n/a",IF(C144=D144,"Yes","No"))</f>
        <v>Yes</v>
      </c>
      <c r="H144" s="15"/>
    </row>
    <row r="145" customFormat="false" ht="15" hidden="false" customHeight="false" outlineLevel="0" collapsed="false">
      <c r="A145" s="12" t="n">
        <v>144</v>
      </c>
      <c r="B145" s="12" t="n">
        <v>2</v>
      </c>
      <c r="C145" s="12" t="s">
        <v>13</v>
      </c>
      <c r="D145" s="12" t="s">
        <v>13</v>
      </c>
      <c r="E145" s="13" t="n">
        <v>0.75</v>
      </c>
      <c r="F145" s="14" t="n">
        <v>0.05</v>
      </c>
      <c r="G145" s="12" t="str">
        <f aca="false">IF(C145="idle","n/a",IF(C145=D145,"Yes","No"))</f>
        <v>Yes</v>
      </c>
      <c r="H145" s="15"/>
    </row>
    <row r="146" customFormat="false" ht="15" hidden="false" customHeight="false" outlineLevel="0" collapsed="false">
      <c r="A146" s="12" t="n">
        <v>145</v>
      </c>
      <c r="B146" s="12" t="n">
        <v>2</v>
      </c>
      <c r="C146" s="12" t="s">
        <v>13</v>
      </c>
      <c r="D146" s="12" t="s">
        <v>13</v>
      </c>
      <c r="E146" s="13" t="n">
        <v>0.7</v>
      </c>
      <c r="F146" s="14" t="n">
        <v>0.06</v>
      </c>
      <c r="G146" s="12" t="str">
        <f aca="false">IF(C146="idle","n/a",IF(C146=D146,"Yes","No"))</f>
        <v>Yes</v>
      </c>
      <c r="H146" s="15"/>
    </row>
    <row r="147" customFormat="false" ht="15" hidden="false" customHeight="false" outlineLevel="0" collapsed="false">
      <c r="A147" s="12" t="n">
        <v>146</v>
      </c>
      <c r="B147" s="12" t="n">
        <v>2</v>
      </c>
      <c r="C147" s="12" t="s">
        <v>13</v>
      </c>
      <c r="D147" s="12" t="s">
        <v>13</v>
      </c>
      <c r="E147" s="13" t="n">
        <v>0.73</v>
      </c>
      <c r="F147" s="14" t="n">
        <v>0.04</v>
      </c>
      <c r="G147" s="12" t="str">
        <f aca="false">IF(C147="idle","n/a",IF(C147=D147,"Yes","No"))</f>
        <v>Yes</v>
      </c>
      <c r="H147" s="15"/>
    </row>
    <row r="148" customFormat="false" ht="15" hidden="false" customHeight="false" outlineLevel="0" collapsed="false">
      <c r="A148" s="12" t="n">
        <v>147</v>
      </c>
      <c r="B148" s="12" t="n">
        <v>2</v>
      </c>
      <c r="C148" s="12" t="s">
        <v>13</v>
      </c>
      <c r="D148" s="12" t="s">
        <v>13</v>
      </c>
      <c r="E148" s="13" t="n">
        <v>0.95</v>
      </c>
      <c r="F148" s="14" t="n">
        <v>0.09</v>
      </c>
      <c r="G148" s="12" t="str">
        <f aca="false">IF(C148="idle","n/a",IF(C148=D148,"Yes","No"))</f>
        <v>Yes</v>
      </c>
      <c r="H148" s="15"/>
    </row>
    <row r="149" customFormat="false" ht="15" hidden="false" customHeight="false" outlineLevel="0" collapsed="false">
      <c r="A149" s="12" t="n">
        <v>148</v>
      </c>
      <c r="B149" s="12" t="n">
        <v>2</v>
      </c>
      <c r="C149" s="12" t="s">
        <v>13</v>
      </c>
      <c r="D149" s="12" t="s">
        <v>13</v>
      </c>
      <c r="E149" s="13" t="n">
        <v>0.81</v>
      </c>
      <c r="F149" s="14" t="n">
        <v>0.05</v>
      </c>
      <c r="G149" s="12" t="str">
        <f aca="false">IF(C149="idle","n/a",IF(C149=D149,"Yes","No"))</f>
        <v>Yes</v>
      </c>
      <c r="H149" s="15"/>
    </row>
    <row r="150" customFormat="false" ht="15" hidden="false" customHeight="false" outlineLevel="0" collapsed="false">
      <c r="A150" s="12" t="n">
        <v>149</v>
      </c>
      <c r="B150" s="12" t="n">
        <v>2</v>
      </c>
      <c r="C150" s="12" t="s">
        <v>13</v>
      </c>
      <c r="D150" s="12" t="s">
        <v>13</v>
      </c>
      <c r="E150" s="13" t="n">
        <v>0.93</v>
      </c>
      <c r="F150" s="14" t="n">
        <v>0.1</v>
      </c>
      <c r="G150" s="12" t="str">
        <f aca="false">IF(C150="idle","n/a",IF(C150=D150,"Yes","No"))</f>
        <v>Yes</v>
      </c>
      <c r="H150" s="15"/>
    </row>
    <row r="151" customFormat="false" ht="15" hidden="false" customHeight="false" outlineLevel="0" collapsed="false">
      <c r="A151" s="12" t="n">
        <v>150</v>
      </c>
      <c r="B151" s="12" t="n">
        <v>2</v>
      </c>
      <c r="C151" s="12" t="s">
        <v>13</v>
      </c>
      <c r="D151" s="12" t="s">
        <v>12</v>
      </c>
      <c r="E151" s="13" t="n">
        <v>0.48</v>
      </c>
      <c r="F151" s="14" t="n">
        <v>0.05</v>
      </c>
      <c r="G151" s="12" t="str">
        <f aca="false">IF(C151="idle","n/a",IF(C151=D151,"Yes","No"))</f>
        <v>No</v>
      </c>
      <c r="H151" s="15"/>
    </row>
    <row r="152" customFormat="false" ht="15" hidden="false" customHeight="false" outlineLevel="0" collapsed="false">
      <c r="A152" s="12" t="n">
        <v>151</v>
      </c>
      <c r="B152" s="12" t="n">
        <v>2</v>
      </c>
      <c r="C152" s="12" t="s">
        <v>13</v>
      </c>
      <c r="D152" s="12" t="s">
        <v>13</v>
      </c>
      <c r="E152" s="13" t="n">
        <v>0.8</v>
      </c>
      <c r="F152" s="14" t="n">
        <v>0.08</v>
      </c>
      <c r="G152" s="12" t="str">
        <f aca="false">IF(C152="idle","n/a",IF(C152=D152,"Yes","No"))</f>
        <v>Yes</v>
      </c>
      <c r="H152" s="15"/>
    </row>
    <row r="153" customFormat="false" ht="15" hidden="false" customHeight="false" outlineLevel="0" collapsed="false">
      <c r="A153" s="12" t="n">
        <v>152</v>
      </c>
      <c r="B153" s="12" t="n">
        <v>2</v>
      </c>
      <c r="C153" s="12" t="s">
        <v>13</v>
      </c>
      <c r="D153" s="12" t="s">
        <v>13</v>
      </c>
      <c r="E153" s="13" t="n">
        <v>0.8</v>
      </c>
      <c r="F153" s="14" t="n">
        <v>0.08</v>
      </c>
      <c r="G153" s="12" t="str">
        <f aca="false">IF(C153="idle","n/a",IF(C153=D153,"Yes","No"))</f>
        <v>Yes</v>
      </c>
      <c r="H153" s="15"/>
    </row>
    <row r="154" customFormat="false" ht="15" hidden="false" customHeight="false" outlineLevel="0" collapsed="false">
      <c r="A154" s="12" t="n">
        <v>153</v>
      </c>
      <c r="B154" s="12" t="n">
        <v>2</v>
      </c>
      <c r="C154" s="12" t="s">
        <v>13</v>
      </c>
      <c r="D154" s="12" t="s">
        <v>13</v>
      </c>
      <c r="E154" s="13" t="n">
        <v>0.79</v>
      </c>
      <c r="F154" s="14" t="n">
        <v>0.05</v>
      </c>
      <c r="G154" s="12" t="str">
        <f aca="false">IF(C154="idle","n/a",IF(C154=D154,"Yes","No"))</f>
        <v>Yes</v>
      </c>
      <c r="H154" s="15"/>
    </row>
    <row r="155" customFormat="false" ht="15" hidden="false" customHeight="false" outlineLevel="0" collapsed="false">
      <c r="A155" s="12" t="n">
        <v>154</v>
      </c>
      <c r="B155" s="12" t="n">
        <v>2</v>
      </c>
      <c r="C155" s="12" t="s">
        <v>13</v>
      </c>
      <c r="D155" s="12" t="s">
        <v>13</v>
      </c>
      <c r="E155" s="13" t="n">
        <v>0.92</v>
      </c>
      <c r="F155" s="14" t="n">
        <v>0.06</v>
      </c>
      <c r="G155" s="12" t="str">
        <f aca="false">IF(C155="idle","n/a",IF(C155=D155,"Yes","No"))</f>
        <v>Yes</v>
      </c>
      <c r="H155" s="15"/>
    </row>
    <row r="156" customFormat="false" ht="15" hidden="false" customHeight="false" outlineLevel="0" collapsed="false">
      <c r="A156" s="12" t="n">
        <v>155</v>
      </c>
      <c r="B156" s="12" t="n">
        <v>2</v>
      </c>
      <c r="C156" s="12" t="s">
        <v>13</v>
      </c>
      <c r="D156" s="12" t="s">
        <v>13</v>
      </c>
      <c r="E156" s="13" t="n">
        <v>0.78</v>
      </c>
      <c r="F156" s="14" t="n">
        <v>0.05</v>
      </c>
      <c r="G156" s="12" t="str">
        <f aca="false">IF(C156="idle","n/a",IF(C156=D156,"Yes","No"))</f>
        <v>Yes</v>
      </c>
      <c r="H156" s="15"/>
    </row>
    <row r="157" customFormat="false" ht="15" hidden="false" customHeight="false" outlineLevel="0" collapsed="false">
      <c r="A157" s="12" t="n">
        <v>156</v>
      </c>
      <c r="B157" s="12" t="n">
        <v>2</v>
      </c>
      <c r="C157" s="12" t="s">
        <v>13</v>
      </c>
      <c r="D157" s="12" t="s">
        <v>13</v>
      </c>
      <c r="E157" s="13" t="n">
        <v>0.53</v>
      </c>
      <c r="F157" s="14" t="n">
        <v>0.06</v>
      </c>
      <c r="G157" s="12" t="str">
        <f aca="false">IF(C157="idle","n/a",IF(C157=D157,"Yes","No"))</f>
        <v>Yes</v>
      </c>
      <c r="H157" s="15"/>
    </row>
    <row r="158" customFormat="false" ht="15" hidden="false" customHeight="false" outlineLevel="0" collapsed="false">
      <c r="A158" s="12" t="n">
        <v>157</v>
      </c>
      <c r="B158" s="12" t="n">
        <v>2</v>
      </c>
      <c r="C158" s="12" t="s">
        <v>13</v>
      </c>
      <c r="D158" s="12" t="s">
        <v>13</v>
      </c>
      <c r="E158" s="13" t="n">
        <v>0.55</v>
      </c>
      <c r="F158" s="14" t="n">
        <v>0.04</v>
      </c>
      <c r="G158" s="12" t="str">
        <f aca="false">IF(C158="idle","n/a",IF(C158=D158,"Yes","No"))</f>
        <v>Yes</v>
      </c>
      <c r="H158" s="15"/>
    </row>
    <row r="159" customFormat="false" ht="15" hidden="false" customHeight="false" outlineLevel="0" collapsed="false">
      <c r="A159" s="12" t="n">
        <v>158</v>
      </c>
      <c r="B159" s="12" t="n">
        <v>2</v>
      </c>
      <c r="C159" s="12" t="s">
        <v>13</v>
      </c>
      <c r="D159" s="12" t="s">
        <v>13</v>
      </c>
      <c r="E159" s="13" t="n">
        <v>0.44</v>
      </c>
      <c r="F159" s="14" t="n">
        <v>0.07</v>
      </c>
      <c r="G159" s="12" t="str">
        <f aca="false">IF(C159="idle","n/a",IF(C159=D159,"Yes","No"))</f>
        <v>Yes</v>
      </c>
      <c r="H159" s="15"/>
    </row>
    <row r="160" customFormat="false" ht="15" hidden="false" customHeight="false" outlineLevel="0" collapsed="false">
      <c r="A160" s="12" t="n">
        <v>159</v>
      </c>
      <c r="B160" s="12" t="n">
        <v>2</v>
      </c>
      <c r="C160" s="12" t="s">
        <v>13</v>
      </c>
      <c r="D160" s="12" t="s">
        <v>13</v>
      </c>
      <c r="E160" s="13" t="n">
        <v>0.53</v>
      </c>
      <c r="F160" s="14" t="n">
        <v>0.04</v>
      </c>
      <c r="G160" s="12" t="str">
        <f aca="false">IF(C160="idle","n/a",IF(C160=D160,"Yes","No"))</f>
        <v>Yes</v>
      </c>
      <c r="H160" s="15"/>
    </row>
    <row r="161" customFormat="false" ht="15" hidden="false" customHeight="false" outlineLevel="0" collapsed="false">
      <c r="A161" s="12" t="n">
        <v>160</v>
      </c>
      <c r="B161" s="12" t="n">
        <v>2</v>
      </c>
      <c r="C161" s="12" t="s">
        <v>13</v>
      </c>
      <c r="D161" s="12" t="s">
        <v>13</v>
      </c>
      <c r="E161" s="13" t="n">
        <v>0.56</v>
      </c>
      <c r="F161" s="14" t="n">
        <v>0.03</v>
      </c>
      <c r="G161" s="12" t="str">
        <f aca="false">IF(C161="idle","n/a",IF(C161=D161,"Yes","No"))</f>
        <v>Yes</v>
      </c>
      <c r="H161" s="15"/>
    </row>
    <row r="162" customFormat="false" ht="15" hidden="false" customHeight="false" outlineLevel="0" collapsed="false">
      <c r="A162" s="12" t="n">
        <v>161</v>
      </c>
      <c r="B162" s="12" t="n">
        <v>2</v>
      </c>
      <c r="C162" s="12" t="s">
        <v>13</v>
      </c>
      <c r="D162" s="12" t="s">
        <v>13</v>
      </c>
      <c r="E162" s="13" t="n">
        <v>0.54</v>
      </c>
      <c r="F162" s="14" t="n">
        <v>0.03</v>
      </c>
      <c r="G162" s="12" t="str">
        <f aca="false">IF(C162="idle","n/a",IF(C162=D162,"Yes","No"))</f>
        <v>Yes</v>
      </c>
      <c r="H162" s="15"/>
    </row>
    <row r="163" customFormat="false" ht="15" hidden="false" customHeight="false" outlineLevel="0" collapsed="false">
      <c r="A163" s="12" t="n">
        <v>162</v>
      </c>
      <c r="B163" s="12" t="n">
        <v>2</v>
      </c>
      <c r="C163" s="12" t="s">
        <v>13</v>
      </c>
      <c r="D163" s="12" t="s">
        <v>13</v>
      </c>
      <c r="E163" s="13" t="n">
        <v>0.57</v>
      </c>
      <c r="F163" s="14" t="n">
        <v>0.04</v>
      </c>
      <c r="G163" s="12" t="str">
        <f aca="false">IF(C163="idle","n/a",IF(C163=D163,"Yes","No"))</f>
        <v>Yes</v>
      </c>
      <c r="H163" s="15"/>
    </row>
    <row r="164" customFormat="false" ht="15" hidden="false" customHeight="false" outlineLevel="0" collapsed="false">
      <c r="A164" s="12" t="n">
        <v>163</v>
      </c>
      <c r="B164" s="12" t="n">
        <v>2</v>
      </c>
      <c r="C164" s="12" t="s">
        <v>13</v>
      </c>
      <c r="D164" s="12" t="s">
        <v>13</v>
      </c>
      <c r="E164" s="13" t="n">
        <v>0.39</v>
      </c>
      <c r="F164" s="14" t="n">
        <v>0.04</v>
      </c>
      <c r="G164" s="12" t="str">
        <f aca="false">IF(C164="idle","n/a",IF(C164=D164,"Yes","No"))</f>
        <v>Yes</v>
      </c>
      <c r="H164" s="15"/>
    </row>
    <row r="165" customFormat="false" ht="15" hidden="false" customHeight="false" outlineLevel="0" collapsed="false">
      <c r="A165" s="12" t="n">
        <v>164</v>
      </c>
      <c r="B165" s="12" t="n">
        <v>2</v>
      </c>
      <c r="C165" s="12" t="s">
        <v>13</v>
      </c>
      <c r="D165" s="12" t="s">
        <v>13</v>
      </c>
      <c r="E165" s="13" t="n">
        <v>0.53</v>
      </c>
      <c r="F165" s="14" t="n">
        <v>0.04</v>
      </c>
      <c r="G165" s="12" t="str">
        <f aca="false">IF(C165="idle","n/a",IF(C165=D165,"Yes","No"))</f>
        <v>Yes</v>
      </c>
      <c r="H165" s="15"/>
    </row>
    <row r="166" customFormat="false" ht="15" hidden="false" customHeight="false" outlineLevel="0" collapsed="false">
      <c r="A166" s="12" t="n">
        <v>165</v>
      </c>
      <c r="B166" s="12" t="n">
        <v>2</v>
      </c>
      <c r="C166" s="12" t="s">
        <v>13</v>
      </c>
      <c r="D166" s="12" t="s">
        <v>13</v>
      </c>
      <c r="E166" s="13" t="n">
        <v>0.58</v>
      </c>
      <c r="F166" s="14" t="n">
        <v>0.03</v>
      </c>
      <c r="G166" s="12" t="str">
        <f aca="false">IF(C166="idle","n/a",IF(C166=D166,"Yes","No"))</f>
        <v>Yes</v>
      </c>
      <c r="H166" s="15"/>
    </row>
    <row r="167" customFormat="false" ht="15" hidden="false" customHeight="false" outlineLevel="0" collapsed="false">
      <c r="A167" s="12" t="n">
        <v>166</v>
      </c>
      <c r="B167" s="12" t="n">
        <v>2</v>
      </c>
      <c r="C167" s="12" t="s">
        <v>13</v>
      </c>
      <c r="D167" s="12" t="s">
        <v>13</v>
      </c>
      <c r="E167" s="13" t="n">
        <v>0.88</v>
      </c>
      <c r="F167" s="14" t="n">
        <v>0.04</v>
      </c>
      <c r="G167" s="12" t="str">
        <f aca="false">IF(C167="idle","n/a",IF(C167=D167,"Yes","No"))</f>
        <v>Yes</v>
      </c>
      <c r="H167" s="15"/>
    </row>
    <row r="168" customFormat="false" ht="15" hidden="false" customHeight="false" outlineLevel="0" collapsed="false">
      <c r="A168" s="12" t="n">
        <v>167</v>
      </c>
      <c r="B168" s="12" t="n">
        <v>2</v>
      </c>
      <c r="C168" s="12" t="s">
        <v>13</v>
      </c>
      <c r="D168" s="12" t="s">
        <v>13</v>
      </c>
      <c r="E168" s="13" t="n">
        <v>0.85</v>
      </c>
      <c r="F168" s="14" t="n">
        <v>0.04</v>
      </c>
      <c r="G168" s="12" t="str">
        <f aca="false">IF(C168="idle","n/a",IF(C168=D168,"Yes","No"))</f>
        <v>Yes</v>
      </c>
      <c r="H168" s="15"/>
    </row>
    <row r="169" customFormat="false" ht="15" hidden="false" customHeight="false" outlineLevel="0" collapsed="false">
      <c r="A169" s="12" t="n">
        <v>168</v>
      </c>
      <c r="B169" s="12" t="n">
        <v>2</v>
      </c>
      <c r="C169" s="12" t="s">
        <v>13</v>
      </c>
      <c r="D169" s="12" t="s">
        <v>13</v>
      </c>
      <c r="E169" s="13" t="n">
        <v>0.6</v>
      </c>
      <c r="F169" s="14" t="n">
        <v>0.04</v>
      </c>
      <c r="G169" s="12" t="str">
        <f aca="false">IF(C169="idle","n/a",IF(C169=D169,"Yes","No"))</f>
        <v>Yes</v>
      </c>
      <c r="H169" s="15"/>
    </row>
    <row r="170" customFormat="false" ht="15" hidden="false" customHeight="false" outlineLevel="0" collapsed="false">
      <c r="A170" s="12" t="n">
        <v>169</v>
      </c>
      <c r="B170" s="12" t="n">
        <v>2</v>
      </c>
      <c r="C170" s="12" t="s">
        <v>13</v>
      </c>
      <c r="D170" s="12" t="s">
        <v>13</v>
      </c>
      <c r="E170" s="13" t="n">
        <v>0.71</v>
      </c>
      <c r="F170" s="14" t="n">
        <v>0.04</v>
      </c>
      <c r="G170" s="12" t="str">
        <f aca="false">IF(C170="idle","n/a",IF(C170=D170,"Yes","No"))</f>
        <v>Yes</v>
      </c>
      <c r="H170" s="15"/>
    </row>
  </sheetData>
  <autoFilter ref="A1:H170"/>
  <conditionalFormatting sqref="G2:G170">
    <cfRule type="cellIs" priority="2" operator="equal" aboveAverage="0" equalAverage="0" bottom="0" percent="0" rank="0" text="" dxfId="7">
      <formula>"No"</formula>
    </cfRule>
  </conditionalFormatting>
  <conditionalFormatting sqref="E2:E170">
    <cfRule type="cellIs" priority="3" operator="greaterThanOrEqual" aboveAverage="0" equalAverage="0" bottom="0" percent="0" rank="0" text="" dxfId="8">
      <formula>0.8</formula>
    </cfRule>
    <cfRule type="cellIs" priority="4" operator="lessThan" aboveAverage="0" equalAverage="0" bottom="0" percent="0" rank="0" text="" dxfId="0">
      <formula>0.6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2026-10-16T19:51:35Z</dcterms:created>
  <dc:creator>openpyxl</dc:creator>
  <dc:description/>
  <dc:language>en-US</dc:language>
  <cp:lastModifiedBy/>
  <dcterms:modified xsi:type="dcterms:W3CDTF">2026-10-16T19:51:35Z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